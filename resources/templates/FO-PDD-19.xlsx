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CER\Desktop\Gober Cto 375 de 2026 yano\Inf 8 Cto 375 2026\Actv 5 Inf 8 Cto 375 Seg Report CC&amp;GValor\"/>
    </mc:Choice>
  </mc:AlternateContent>
  <xr:revisionPtr revIDLastSave="0" documentId="13_ncr:1_{38A69CC5-A096-49C4-B3BE-EE22DD6E7719}" xr6:coauthVersionLast="47" xr6:coauthVersionMax="47" xr10:uidLastSave="{00000000-0000-0000-0000-000000000000}"/>
  <bookViews>
    <workbookView xWindow="-110" yWindow="-110" windowWidth="19420" windowHeight="10300" activeTab="1" xr2:uid="{00000000-000D-0000-FFFF-FFFF00000000}"/>
  </bookViews>
  <sheets>
    <sheet name="INSTRUCTIVO" sheetId="6" r:id="rId1"/>
    <sheet name="FO-PDD-19" sheetId="9" r:id="rId2"/>
    <sheet name="ACTIVIDAD " sheetId="7" r:id="rId3"/>
    <sheet name="PROYECTO" sheetId="8" r:id="rId4"/>
  </sheets>
  <externalReferences>
    <externalReference r:id="rId5"/>
  </externalReferences>
  <definedNames>
    <definedName name="_xlnm._FilterDatabase" localSheetId="2" hidden="1">'ACTIVIDAD '!$A$7:$AB$105</definedName>
    <definedName name="_xlnm.Print_Area" localSheetId="1">'FO-PDD-19'!$A$1:$AI$14</definedName>
  </definedNames>
  <calcPr calcId="181029"/>
  <fileRecoveryPr autoRecover="0"/>
</workbook>
</file>

<file path=xl/calcChain.xml><?xml version="1.0" encoding="utf-8"?>
<calcChain xmlns="http://schemas.openxmlformats.org/spreadsheetml/2006/main">
  <c r="Z11" i="8" l="1"/>
  <c r="Z12" i="8"/>
  <c r="Z13" i="8"/>
  <c r="Z14" i="8"/>
  <c r="Z15" i="8"/>
  <c r="Z16" i="8"/>
  <c r="Z17" i="8"/>
  <c r="Z18" i="8"/>
  <c r="Z19" i="8"/>
  <c r="Z20" i="8"/>
  <c r="Z21" i="8"/>
  <c r="Z22" i="8"/>
  <c r="Z23" i="8"/>
  <c r="Z24" i="8"/>
  <c r="Z25" i="8"/>
  <c r="Z26" i="8"/>
  <c r="Z27" i="8"/>
  <c r="Z28" i="8"/>
  <c r="Z10" i="8"/>
  <c r="Z29" i="8"/>
  <c r="D29" i="8"/>
  <c r="E29" i="8"/>
  <c r="F29" i="8"/>
  <c r="G29" i="8"/>
  <c r="H29" i="8"/>
  <c r="I29" i="8"/>
  <c r="J29" i="8"/>
  <c r="K29" i="8"/>
  <c r="L29" i="8"/>
  <c r="M29" i="8"/>
  <c r="N29" i="8"/>
  <c r="O29" i="8"/>
  <c r="P29" i="8"/>
  <c r="Q29" i="8"/>
  <c r="R29" i="8"/>
  <c r="S29" i="8"/>
  <c r="T29" i="8"/>
  <c r="U29" i="8"/>
  <c r="V29" i="8"/>
  <c r="W29" i="8"/>
  <c r="X29" i="8"/>
  <c r="Y29" i="8"/>
  <c r="C29" i="8"/>
  <c r="D28" i="8"/>
  <c r="E28" i="8"/>
  <c r="F28" i="8"/>
  <c r="G28" i="8"/>
  <c r="H28" i="8"/>
  <c r="I28" i="8"/>
  <c r="J28" i="8"/>
  <c r="K28" i="8"/>
  <c r="L28" i="8"/>
  <c r="M28" i="8"/>
  <c r="N28" i="8"/>
  <c r="O28" i="8"/>
  <c r="P28" i="8"/>
  <c r="Q28" i="8"/>
  <c r="R28" i="8"/>
  <c r="S28" i="8"/>
  <c r="T28" i="8"/>
  <c r="U28" i="8"/>
  <c r="V28" i="8"/>
  <c r="W28" i="8"/>
  <c r="X28" i="8"/>
  <c r="Y28" i="8"/>
  <c r="D27" i="8"/>
  <c r="E27" i="8"/>
  <c r="F27" i="8"/>
  <c r="G27" i="8"/>
  <c r="H27" i="8"/>
  <c r="I27" i="8"/>
  <c r="J27" i="8"/>
  <c r="K27" i="8"/>
  <c r="L27" i="8"/>
  <c r="M27" i="8"/>
  <c r="N27" i="8"/>
  <c r="O27" i="8"/>
  <c r="P27" i="8"/>
  <c r="Q27" i="8"/>
  <c r="R27" i="8"/>
  <c r="S27" i="8"/>
  <c r="T27" i="8"/>
  <c r="U27" i="8"/>
  <c r="V27" i="8"/>
  <c r="W27" i="8"/>
  <c r="X27" i="8"/>
  <c r="Y27" i="8"/>
  <c r="D26" i="8"/>
  <c r="E26" i="8"/>
  <c r="F26" i="8"/>
  <c r="G26" i="8"/>
  <c r="H26" i="8"/>
  <c r="I26" i="8"/>
  <c r="J26" i="8"/>
  <c r="K26" i="8"/>
  <c r="L26" i="8"/>
  <c r="M26" i="8"/>
  <c r="N26" i="8"/>
  <c r="O26" i="8"/>
  <c r="P26" i="8"/>
  <c r="Q26" i="8"/>
  <c r="R26" i="8"/>
  <c r="S26" i="8"/>
  <c r="T26" i="8"/>
  <c r="U26" i="8"/>
  <c r="V26" i="8"/>
  <c r="W26" i="8"/>
  <c r="X26" i="8"/>
  <c r="Y26" i="8"/>
  <c r="D25" i="8"/>
  <c r="E25" i="8"/>
  <c r="F25" i="8"/>
  <c r="G25" i="8"/>
  <c r="H25" i="8"/>
  <c r="I25" i="8"/>
  <c r="J25" i="8"/>
  <c r="K25" i="8"/>
  <c r="L25" i="8"/>
  <c r="M25" i="8"/>
  <c r="N25" i="8"/>
  <c r="O25" i="8"/>
  <c r="P25" i="8"/>
  <c r="Q25" i="8"/>
  <c r="R25" i="8"/>
  <c r="S25" i="8"/>
  <c r="T25" i="8"/>
  <c r="U25" i="8"/>
  <c r="V25" i="8"/>
  <c r="W25" i="8"/>
  <c r="X25" i="8"/>
  <c r="Y25" i="8"/>
  <c r="D24" i="8"/>
  <c r="E24" i="8"/>
  <c r="F24" i="8"/>
  <c r="G24" i="8"/>
  <c r="H24" i="8"/>
  <c r="I24" i="8"/>
  <c r="J24" i="8"/>
  <c r="K24" i="8"/>
  <c r="L24" i="8"/>
  <c r="M24" i="8"/>
  <c r="N24" i="8"/>
  <c r="O24" i="8"/>
  <c r="P24" i="8"/>
  <c r="Q24" i="8"/>
  <c r="R24" i="8"/>
  <c r="S24" i="8"/>
  <c r="T24" i="8"/>
  <c r="U24" i="8"/>
  <c r="V24" i="8"/>
  <c r="W24" i="8"/>
  <c r="X24" i="8"/>
  <c r="Y24" i="8"/>
  <c r="D23" i="8"/>
  <c r="E23" i="8"/>
  <c r="F23" i="8"/>
  <c r="G23" i="8"/>
  <c r="H23" i="8"/>
  <c r="I23" i="8"/>
  <c r="J23" i="8"/>
  <c r="K23" i="8"/>
  <c r="L23" i="8"/>
  <c r="M23" i="8"/>
  <c r="N23" i="8"/>
  <c r="O23" i="8"/>
  <c r="P23" i="8"/>
  <c r="Q23" i="8"/>
  <c r="R23" i="8"/>
  <c r="S23" i="8"/>
  <c r="T23" i="8"/>
  <c r="U23" i="8"/>
  <c r="V23" i="8"/>
  <c r="W23" i="8"/>
  <c r="X23" i="8"/>
  <c r="Y23" i="8"/>
  <c r="D22" i="8"/>
  <c r="E22" i="8"/>
  <c r="F22" i="8"/>
  <c r="G22" i="8"/>
  <c r="H22" i="8"/>
  <c r="I22" i="8"/>
  <c r="J22" i="8"/>
  <c r="K22" i="8"/>
  <c r="L22" i="8"/>
  <c r="M22" i="8"/>
  <c r="N22" i="8"/>
  <c r="O22" i="8"/>
  <c r="P22" i="8"/>
  <c r="Q22" i="8"/>
  <c r="R22" i="8"/>
  <c r="S22" i="8"/>
  <c r="T22" i="8"/>
  <c r="U22" i="8"/>
  <c r="V22" i="8"/>
  <c r="W22" i="8"/>
  <c r="X22" i="8"/>
  <c r="Y22" i="8"/>
  <c r="D21" i="8"/>
  <c r="E21" i="8"/>
  <c r="F21" i="8"/>
  <c r="G21" i="8"/>
  <c r="H21" i="8"/>
  <c r="I21" i="8"/>
  <c r="J21" i="8"/>
  <c r="K21" i="8"/>
  <c r="L21" i="8"/>
  <c r="M21" i="8"/>
  <c r="N21" i="8"/>
  <c r="O21" i="8"/>
  <c r="P21" i="8"/>
  <c r="Q21" i="8"/>
  <c r="R21" i="8"/>
  <c r="S21" i="8"/>
  <c r="T21" i="8"/>
  <c r="U21" i="8"/>
  <c r="V21" i="8"/>
  <c r="W21" i="8"/>
  <c r="X21" i="8"/>
  <c r="Y21" i="8"/>
  <c r="D20" i="8"/>
  <c r="E20" i="8"/>
  <c r="F20" i="8"/>
  <c r="G20" i="8"/>
  <c r="H20" i="8"/>
  <c r="I20" i="8"/>
  <c r="J20" i="8"/>
  <c r="K20" i="8"/>
  <c r="L20" i="8"/>
  <c r="M20" i="8"/>
  <c r="N20" i="8"/>
  <c r="O20" i="8"/>
  <c r="P20" i="8"/>
  <c r="Q20" i="8"/>
  <c r="R20" i="8"/>
  <c r="S20" i="8"/>
  <c r="T20" i="8"/>
  <c r="U20" i="8"/>
  <c r="V20" i="8"/>
  <c r="W20" i="8"/>
  <c r="X20" i="8"/>
  <c r="Y20" i="8"/>
  <c r="D19" i="8"/>
  <c r="E19" i="8"/>
  <c r="F19" i="8"/>
  <c r="G19" i="8"/>
  <c r="H19" i="8"/>
  <c r="I19" i="8"/>
  <c r="J19" i="8"/>
  <c r="K19" i="8"/>
  <c r="L19" i="8"/>
  <c r="M19" i="8"/>
  <c r="N19" i="8"/>
  <c r="O19" i="8"/>
  <c r="P19" i="8"/>
  <c r="Q19" i="8"/>
  <c r="R19" i="8"/>
  <c r="S19" i="8"/>
  <c r="T19" i="8"/>
  <c r="U19" i="8"/>
  <c r="V19" i="8"/>
  <c r="W19" i="8"/>
  <c r="X19" i="8"/>
  <c r="Y19" i="8"/>
  <c r="D18" i="8"/>
  <c r="E18" i="8"/>
  <c r="F18" i="8"/>
  <c r="G18" i="8"/>
  <c r="H18" i="8"/>
  <c r="I18" i="8"/>
  <c r="J18" i="8"/>
  <c r="K18" i="8"/>
  <c r="L18" i="8"/>
  <c r="M18" i="8"/>
  <c r="N18" i="8"/>
  <c r="O18" i="8"/>
  <c r="P18" i="8"/>
  <c r="Q18" i="8"/>
  <c r="R18" i="8"/>
  <c r="S18" i="8"/>
  <c r="T18" i="8"/>
  <c r="U18" i="8"/>
  <c r="V18" i="8"/>
  <c r="W18" i="8"/>
  <c r="X18" i="8"/>
  <c r="Y18" i="8"/>
  <c r="D17" i="8"/>
  <c r="E17" i="8"/>
  <c r="F17" i="8"/>
  <c r="G17" i="8"/>
  <c r="H17" i="8"/>
  <c r="I17" i="8"/>
  <c r="J17" i="8"/>
  <c r="K17" i="8"/>
  <c r="L17" i="8"/>
  <c r="M17" i="8"/>
  <c r="N17" i="8"/>
  <c r="O17" i="8"/>
  <c r="P17" i="8"/>
  <c r="Q17" i="8"/>
  <c r="R17" i="8"/>
  <c r="S17" i="8"/>
  <c r="T17" i="8"/>
  <c r="U17" i="8"/>
  <c r="V17" i="8"/>
  <c r="W17" i="8"/>
  <c r="X17" i="8"/>
  <c r="Y17" i="8"/>
  <c r="D16" i="8"/>
  <c r="E16" i="8"/>
  <c r="F16" i="8"/>
  <c r="G16" i="8"/>
  <c r="H16" i="8"/>
  <c r="I16" i="8"/>
  <c r="J16" i="8"/>
  <c r="K16" i="8"/>
  <c r="L16" i="8"/>
  <c r="M16" i="8"/>
  <c r="N16" i="8"/>
  <c r="O16" i="8"/>
  <c r="P16" i="8"/>
  <c r="Q16" i="8"/>
  <c r="R16" i="8"/>
  <c r="S16" i="8"/>
  <c r="T16" i="8"/>
  <c r="U16" i="8"/>
  <c r="V16" i="8"/>
  <c r="W16" i="8"/>
  <c r="X16" i="8"/>
  <c r="Y16" i="8"/>
  <c r="D15" i="8"/>
  <c r="E15" i="8"/>
  <c r="F15" i="8"/>
  <c r="G15" i="8"/>
  <c r="H15" i="8"/>
  <c r="I15" i="8"/>
  <c r="J15" i="8"/>
  <c r="K15" i="8"/>
  <c r="L15" i="8"/>
  <c r="M15" i="8"/>
  <c r="N15" i="8"/>
  <c r="O15" i="8"/>
  <c r="P15" i="8"/>
  <c r="Q15" i="8"/>
  <c r="R15" i="8"/>
  <c r="S15" i="8"/>
  <c r="T15" i="8"/>
  <c r="U15" i="8"/>
  <c r="V15" i="8"/>
  <c r="W15" i="8"/>
  <c r="X15" i="8"/>
  <c r="Y15" i="8"/>
  <c r="D14" i="8"/>
  <c r="E14" i="8"/>
  <c r="F14" i="8"/>
  <c r="G14" i="8"/>
  <c r="H14" i="8"/>
  <c r="I14" i="8"/>
  <c r="J14" i="8"/>
  <c r="K14" i="8"/>
  <c r="L14" i="8"/>
  <c r="M14" i="8"/>
  <c r="N14" i="8"/>
  <c r="O14" i="8"/>
  <c r="P14" i="8"/>
  <c r="Q14" i="8"/>
  <c r="R14" i="8"/>
  <c r="S14" i="8"/>
  <c r="T14" i="8"/>
  <c r="U14" i="8"/>
  <c r="V14" i="8"/>
  <c r="W14" i="8"/>
  <c r="X14" i="8"/>
  <c r="Y14" i="8"/>
  <c r="D13" i="8"/>
  <c r="E13" i="8"/>
  <c r="F13" i="8"/>
  <c r="G13" i="8"/>
  <c r="H13" i="8"/>
  <c r="I13" i="8"/>
  <c r="J13" i="8"/>
  <c r="K13" i="8"/>
  <c r="L13" i="8"/>
  <c r="M13" i="8"/>
  <c r="N13" i="8"/>
  <c r="O13" i="8"/>
  <c r="P13" i="8"/>
  <c r="Q13" i="8"/>
  <c r="R13" i="8"/>
  <c r="S13" i="8"/>
  <c r="T13" i="8"/>
  <c r="U13" i="8"/>
  <c r="V13" i="8"/>
  <c r="W13" i="8"/>
  <c r="X13" i="8"/>
  <c r="Y13" i="8"/>
  <c r="D12" i="8"/>
  <c r="E12" i="8"/>
  <c r="F12" i="8"/>
  <c r="G12" i="8"/>
  <c r="H12" i="8"/>
  <c r="I12" i="8"/>
  <c r="J12" i="8"/>
  <c r="K12" i="8"/>
  <c r="L12" i="8"/>
  <c r="M12" i="8"/>
  <c r="N12" i="8"/>
  <c r="O12" i="8"/>
  <c r="P12" i="8"/>
  <c r="Q12" i="8"/>
  <c r="R12" i="8"/>
  <c r="S12" i="8"/>
  <c r="T12" i="8"/>
  <c r="U12" i="8"/>
  <c r="V12" i="8"/>
  <c r="W12" i="8"/>
  <c r="X12" i="8"/>
  <c r="Y12" i="8"/>
  <c r="D11" i="8"/>
  <c r="E11" i="8"/>
  <c r="F11" i="8"/>
  <c r="G11" i="8"/>
  <c r="H11" i="8"/>
  <c r="I11" i="8"/>
  <c r="J11" i="8"/>
  <c r="K11" i="8"/>
  <c r="L11" i="8"/>
  <c r="M11" i="8"/>
  <c r="N11" i="8"/>
  <c r="O11" i="8"/>
  <c r="P11" i="8"/>
  <c r="Q11" i="8"/>
  <c r="R11" i="8"/>
  <c r="S11" i="8"/>
  <c r="T11" i="8"/>
  <c r="U11" i="8"/>
  <c r="V11" i="8"/>
  <c r="W11" i="8"/>
  <c r="X11" i="8"/>
  <c r="Y11" i="8"/>
  <c r="D10" i="8"/>
  <c r="E10" i="8"/>
  <c r="F10" i="8"/>
  <c r="G10" i="8"/>
  <c r="H10" i="8"/>
  <c r="I10" i="8"/>
  <c r="J10" i="8"/>
  <c r="K10" i="8"/>
  <c r="L10" i="8"/>
  <c r="M10" i="8"/>
  <c r="N10" i="8"/>
  <c r="O10" i="8"/>
  <c r="P10" i="8"/>
  <c r="Q10" i="8"/>
  <c r="R10" i="8"/>
  <c r="S10" i="8"/>
  <c r="T10" i="8"/>
  <c r="U10" i="8"/>
  <c r="V10" i="8"/>
  <c r="W10" i="8"/>
  <c r="X10" i="8"/>
  <c r="Y10" i="8"/>
  <c r="F105" i="7"/>
  <c r="G105" i="7"/>
  <c r="H105" i="7"/>
  <c r="I105" i="7"/>
  <c r="J105" i="7"/>
  <c r="K105" i="7"/>
  <c r="L105" i="7"/>
  <c r="M105" i="7"/>
  <c r="N105" i="7"/>
  <c r="O105" i="7"/>
  <c r="P105" i="7"/>
  <c r="Q105" i="7"/>
  <c r="R105" i="7"/>
  <c r="S105" i="7"/>
  <c r="T105" i="7"/>
  <c r="U105" i="7"/>
  <c r="V105" i="7"/>
  <c r="W105" i="7"/>
  <c r="X105" i="7"/>
  <c r="Y105" i="7"/>
  <c r="Z105" i="7"/>
  <c r="AA105" i="7"/>
  <c r="AB105" i="7"/>
  <c r="E105" i="7"/>
  <c r="F104" i="7"/>
  <c r="G104" i="7"/>
  <c r="H104" i="7"/>
  <c r="I104" i="7"/>
  <c r="J104" i="7"/>
  <c r="K104" i="7"/>
  <c r="L104" i="7"/>
  <c r="M104" i="7"/>
  <c r="N104" i="7"/>
  <c r="O104" i="7"/>
  <c r="P104" i="7"/>
  <c r="Q104" i="7"/>
  <c r="R104" i="7"/>
  <c r="S104" i="7"/>
  <c r="T104" i="7"/>
  <c r="U104" i="7"/>
  <c r="V104" i="7"/>
  <c r="W104" i="7"/>
  <c r="X104" i="7"/>
  <c r="Y104" i="7"/>
  <c r="Z104" i="7"/>
  <c r="AA104" i="7"/>
  <c r="AB104" i="7"/>
  <c r="F99" i="7"/>
  <c r="G99" i="7"/>
  <c r="H99" i="7"/>
  <c r="I99" i="7"/>
  <c r="J99" i="7"/>
  <c r="K99" i="7"/>
  <c r="L99" i="7"/>
  <c r="M99" i="7"/>
  <c r="N99" i="7"/>
  <c r="O99" i="7"/>
  <c r="P99" i="7"/>
  <c r="Q99" i="7"/>
  <c r="R99" i="7"/>
  <c r="S99" i="7"/>
  <c r="T99" i="7"/>
  <c r="U99" i="7"/>
  <c r="V99" i="7"/>
  <c r="W99" i="7"/>
  <c r="X99" i="7"/>
  <c r="Y99" i="7"/>
  <c r="Z99" i="7"/>
  <c r="AA99" i="7"/>
  <c r="AB99" i="7"/>
  <c r="F94" i="7"/>
  <c r="G94" i="7"/>
  <c r="H94" i="7"/>
  <c r="I94" i="7"/>
  <c r="J94" i="7"/>
  <c r="K94" i="7"/>
  <c r="L94" i="7"/>
  <c r="M94" i="7"/>
  <c r="N94" i="7"/>
  <c r="O94" i="7"/>
  <c r="P94" i="7"/>
  <c r="Q94" i="7"/>
  <c r="R94" i="7"/>
  <c r="S94" i="7"/>
  <c r="T94" i="7"/>
  <c r="U94" i="7"/>
  <c r="V94" i="7"/>
  <c r="W94" i="7"/>
  <c r="X94" i="7"/>
  <c r="Y94" i="7"/>
  <c r="Z94" i="7"/>
  <c r="AA94" i="7"/>
  <c r="AB94" i="7"/>
  <c r="F89" i="7"/>
  <c r="G89" i="7"/>
  <c r="H89" i="7"/>
  <c r="I89" i="7"/>
  <c r="J89" i="7"/>
  <c r="K89" i="7"/>
  <c r="L89" i="7"/>
  <c r="M89" i="7"/>
  <c r="N89" i="7"/>
  <c r="O89" i="7"/>
  <c r="P89" i="7"/>
  <c r="Q89" i="7"/>
  <c r="R89" i="7"/>
  <c r="S89" i="7"/>
  <c r="T89" i="7"/>
  <c r="U89" i="7"/>
  <c r="V89" i="7"/>
  <c r="W89" i="7"/>
  <c r="X89" i="7"/>
  <c r="Y89" i="7"/>
  <c r="Z89" i="7"/>
  <c r="AA89" i="7"/>
  <c r="AB89" i="7"/>
  <c r="F84" i="7"/>
  <c r="G84" i="7"/>
  <c r="H84" i="7"/>
  <c r="I84" i="7"/>
  <c r="J84" i="7"/>
  <c r="K84" i="7"/>
  <c r="L84" i="7"/>
  <c r="M84" i="7"/>
  <c r="N84" i="7"/>
  <c r="O84" i="7"/>
  <c r="P84" i="7"/>
  <c r="Q84" i="7"/>
  <c r="R84" i="7"/>
  <c r="S84" i="7"/>
  <c r="T84" i="7"/>
  <c r="U84" i="7"/>
  <c r="V84" i="7"/>
  <c r="W84" i="7"/>
  <c r="X84" i="7"/>
  <c r="Y84" i="7"/>
  <c r="Z84" i="7"/>
  <c r="AA84" i="7"/>
  <c r="AB84" i="7"/>
  <c r="F79" i="7"/>
  <c r="G79" i="7"/>
  <c r="H79" i="7"/>
  <c r="I79" i="7"/>
  <c r="J79" i="7"/>
  <c r="K79" i="7"/>
  <c r="L79" i="7"/>
  <c r="M79" i="7"/>
  <c r="N79" i="7"/>
  <c r="O79" i="7"/>
  <c r="P79" i="7"/>
  <c r="Q79" i="7"/>
  <c r="R79" i="7"/>
  <c r="S79" i="7"/>
  <c r="T79" i="7"/>
  <c r="U79" i="7"/>
  <c r="V79" i="7"/>
  <c r="W79" i="7"/>
  <c r="X79" i="7"/>
  <c r="Y79" i="7"/>
  <c r="Z79" i="7"/>
  <c r="AA79" i="7"/>
  <c r="AB79" i="7"/>
  <c r="F74" i="7"/>
  <c r="G74" i="7"/>
  <c r="H74" i="7"/>
  <c r="I74" i="7"/>
  <c r="J74" i="7"/>
  <c r="K74" i="7"/>
  <c r="L74" i="7"/>
  <c r="M74" i="7"/>
  <c r="N74" i="7"/>
  <c r="O74" i="7"/>
  <c r="P74" i="7"/>
  <c r="Q74" i="7"/>
  <c r="R74" i="7"/>
  <c r="S74" i="7"/>
  <c r="T74" i="7"/>
  <c r="U74" i="7"/>
  <c r="V74" i="7"/>
  <c r="W74" i="7"/>
  <c r="X74" i="7"/>
  <c r="Y74" i="7"/>
  <c r="Z74" i="7"/>
  <c r="AA74" i="7"/>
  <c r="AB74" i="7"/>
  <c r="F69" i="7"/>
  <c r="G69" i="7"/>
  <c r="H69" i="7"/>
  <c r="I69" i="7"/>
  <c r="J69" i="7"/>
  <c r="K69" i="7"/>
  <c r="L69" i="7"/>
  <c r="M69" i="7"/>
  <c r="N69" i="7"/>
  <c r="O69" i="7"/>
  <c r="P69" i="7"/>
  <c r="Q69" i="7"/>
  <c r="R69" i="7"/>
  <c r="S69" i="7"/>
  <c r="T69" i="7"/>
  <c r="U69" i="7"/>
  <c r="V69" i="7"/>
  <c r="W69" i="7"/>
  <c r="X69" i="7"/>
  <c r="Y69" i="7"/>
  <c r="Z69" i="7"/>
  <c r="AA69" i="7"/>
  <c r="AB69" i="7"/>
  <c r="F64" i="7"/>
  <c r="G64" i="7"/>
  <c r="H64" i="7"/>
  <c r="I64" i="7"/>
  <c r="J64" i="7"/>
  <c r="K64" i="7"/>
  <c r="L64" i="7"/>
  <c r="M64" i="7"/>
  <c r="N64" i="7"/>
  <c r="O64" i="7"/>
  <c r="P64" i="7"/>
  <c r="Q64" i="7"/>
  <c r="R64" i="7"/>
  <c r="S64" i="7"/>
  <c r="T64" i="7"/>
  <c r="U64" i="7"/>
  <c r="V64" i="7"/>
  <c r="W64" i="7"/>
  <c r="X64" i="7"/>
  <c r="Y64" i="7"/>
  <c r="Z64" i="7"/>
  <c r="AA64" i="7"/>
  <c r="AB64" i="7"/>
  <c r="F59" i="7"/>
  <c r="G59" i="7"/>
  <c r="H59" i="7"/>
  <c r="I59" i="7"/>
  <c r="J59" i="7"/>
  <c r="K59" i="7"/>
  <c r="L59" i="7"/>
  <c r="M59" i="7"/>
  <c r="N59" i="7"/>
  <c r="O59" i="7"/>
  <c r="P59" i="7"/>
  <c r="Q59" i="7"/>
  <c r="R59" i="7"/>
  <c r="S59" i="7"/>
  <c r="T59" i="7"/>
  <c r="U59" i="7"/>
  <c r="V59" i="7"/>
  <c r="W59" i="7"/>
  <c r="X59" i="7"/>
  <c r="Y59" i="7"/>
  <c r="Z59" i="7"/>
  <c r="AA59" i="7"/>
  <c r="AB59" i="7"/>
  <c r="F54" i="7"/>
  <c r="G54" i="7"/>
  <c r="H54" i="7"/>
  <c r="I54" i="7"/>
  <c r="J54" i="7"/>
  <c r="K54" i="7"/>
  <c r="L54" i="7"/>
  <c r="M54" i="7"/>
  <c r="N54" i="7"/>
  <c r="O54" i="7"/>
  <c r="P54" i="7"/>
  <c r="Q54" i="7"/>
  <c r="R54" i="7"/>
  <c r="S54" i="7"/>
  <c r="T54" i="7"/>
  <c r="U54" i="7"/>
  <c r="V54" i="7"/>
  <c r="W54" i="7"/>
  <c r="X54" i="7"/>
  <c r="Y54" i="7"/>
  <c r="Z54" i="7"/>
  <c r="AA54" i="7"/>
  <c r="AB54" i="7"/>
  <c r="F49" i="7"/>
  <c r="G49" i="7"/>
  <c r="H49" i="7"/>
  <c r="I49" i="7"/>
  <c r="J49" i="7"/>
  <c r="K49" i="7"/>
  <c r="L49" i="7"/>
  <c r="M49" i="7"/>
  <c r="N49" i="7"/>
  <c r="O49" i="7"/>
  <c r="P49" i="7"/>
  <c r="Q49" i="7"/>
  <c r="R49" i="7"/>
  <c r="S49" i="7"/>
  <c r="T49" i="7"/>
  <c r="U49" i="7"/>
  <c r="V49" i="7"/>
  <c r="W49" i="7"/>
  <c r="X49" i="7"/>
  <c r="Y49" i="7"/>
  <c r="Z49" i="7"/>
  <c r="AA49" i="7"/>
  <c r="AB49" i="7"/>
  <c r="F44" i="7"/>
  <c r="G44" i="7"/>
  <c r="H44" i="7"/>
  <c r="I44" i="7"/>
  <c r="J44" i="7"/>
  <c r="K44" i="7"/>
  <c r="L44" i="7"/>
  <c r="M44" i="7"/>
  <c r="N44" i="7"/>
  <c r="O44" i="7"/>
  <c r="P44" i="7"/>
  <c r="Q44" i="7"/>
  <c r="R44" i="7"/>
  <c r="S44" i="7"/>
  <c r="T44" i="7"/>
  <c r="U44" i="7"/>
  <c r="V44" i="7"/>
  <c r="W44" i="7"/>
  <c r="X44" i="7"/>
  <c r="Y44" i="7"/>
  <c r="Z44" i="7"/>
  <c r="AA44" i="7"/>
  <c r="AB44" i="7"/>
  <c r="F39" i="7"/>
  <c r="G39" i="7"/>
  <c r="H39" i="7"/>
  <c r="I39" i="7"/>
  <c r="J39" i="7"/>
  <c r="K39" i="7"/>
  <c r="L39" i="7"/>
  <c r="M39" i="7"/>
  <c r="N39" i="7"/>
  <c r="O39" i="7"/>
  <c r="P39" i="7"/>
  <c r="Q39" i="7"/>
  <c r="R39" i="7"/>
  <c r="S39" i="7"/>
  <c r="T39" i="7"/>
  <c r="U39" i="7"/>
  <c r="V39" i="7"/>
  <c r="W39" i="7"/>
  <c r="X39" i="7"/>
  <c r="Y39" i="7"/>
  <c r="Z39" i="7"/>
  <c r="AA39" i="7"/>
  <c r="AB39" i="7"/>
  <c r="F34" i="7"/>
  <c r="G34" i="7"/>
  <c r="H34" i="7"/>
  <c r="I34" i="7"/>
  <c r="J34" i="7"/>
  <c r="K34" i="7"/>
  <c r="L34" i="7"/>
  <c r="M34" i="7"/>
  <c r="N34" i="7"/>
  <c r="O34" i="7"/>
  <c r="P34" i="7"/>
  <c r="Q34" i="7"/>
  <c r="R34" i="7"/>
  <c r="S34" i="7"/>
  <c r="T34" i="7"/>
  <c r="U34" i="7"/>
  <c r="V34" i="7"/>
  <c r="W34" i="7"/>
  <c r="X34" i="7"/>
  <c r="Y34" i="7"/>
  <c r="Z34" i="7"/>
  <c r="AA34" i="7"/>
  <c r="AB34" i="7"/>
  <c r="F29" i="7"/>
  <c r="G29" i="7"/>
  <c r="H29" i="7"/>
  <c r="I29" i="7"/>
  <c r="J29" i="7"/>
  <c r="K29" i="7"/>
  <c r="L29" i="7"/>
  <c r="M29" i="7"/>
  <c r="N29" i="7"/>
  <c r="O29" i="7"/>
  <c r="P29" i="7"/>
  <c r="Q29" i="7"/>
  <c r="R29" i="7"/>
  <c r="S29" i="7"/>
  <c r="T29" i="7"/>
  <c r="U29" i="7"/>
  <c r="V29" i="7"/>
  <c r="W29" i="7"/>
  <c r="X29" i="7"/>
  <c r="Y29" i="7"/>
  <c r="Z29" i="7"/>
  <c r="AA29" i="7"/>
  <c r="AB29" i="7"/>
  <c r="F24" i="7"/>
  <c r="G24" i="7"/>
  <c r="H24" i="7"/>
  <c r="I24" i="7"/>
  <c r="J24" i="7"/>
  <c r="K24" i="7"/>
  <c r="L24" i="7"/>
  <c r="M24" i="7"/>
  <c r="N24" i="7"/>
  <c r="O24" i="7"/>
  <c r="P24" i="7"/>
  <c r="Q24" i="7"/>
  <c r="R24" i="7"/>
  <c r="S24" i="7"/>
  <c r="T24" i="7"/>
  <c r="U24" i="7"/>
  <c r="V24" i="7"/>
  <c r="W24" i="7"/>
  <c r="X24" i="7"/>
  <c r="Y24" i="7"/>
  <c r="Z24" i="7"/>
  <c r="AA24" i="7"/>
  <c r="AB24" i="7"/>
  <c r="F14" i="7"/>
  <c r="G14" i="7"/>
  <c r="H14" i="7"/>
  <c r="I14" i="7"/>
  <c r="J14" i="7"/>
  <c r="K14" i="7"/>
  <c r="L14" i="7"/>
  <c r="M14" i="7"/>
  <c r="N14" i="7"/>
  <c r="O14" i="7"/>
  <c r="P14" i="7"/>
  <c r="Q14" i="7"/>
  <c r="R14" i="7"/>
  <c r="S14" i="7"/>
  <c r="T14" i="7"/>
  <c r="U14" i="7"/>
  <c r="V14" i="7"/>
  <c r="W14" i="7"/>
  <c r="X14" i="7"/>
  <c r="Y14" i="7"/>
  <c r="Z14" i="7"/>
  <c r="AA14" i="7"/>
  <c r="AB14" i="7"/>
  <c r="AB62" i="7"/>
  <c r="AB63" i="7"/>
  <c r="AB61" i="7"/>
  <c r="AB60" i="7"/>
  <c r="AB58" i="7"/>
  <c r="AB57" i="7"/>
  <c r="AB56" i="7"/>
  <c r="AB55" i="7"/>
  <c r="AB53" i="7"/>
  <c r="AB52" i="7"/>
  <c r="AB51" i="7"/>
  <c r="AB50" i="7"/>
  <c r="AB48" i="7"/>
  <c r="AB47" i="7"/>
  <c r="AB46" i="7"/>
  <c r="AB45" i="7"/>
  <c r="AB43" i="7"/>
  <c r="AB42" i="7"/>
  <c r="AB41" i="7"/>
  <c r="AB40" i="7"/>
  <c r="AB38" i="7"/>
  <c r="AB37" i="7"/>
  <c r="AB36" i="7"/>
  <c r="AB35" i="7"/>
  <c r="AB33" i="7"/>
  <c r="AB32" i="7"/>
  <c r="AB31" i="7"/>
  <c r="AB30" i="7"/>
  <c r="AB28" i="7"/>
  <c r="AB27" i="7"/>
  <c r="AB26" i="7"/>
  <c r="AB25" i="7"/>
  <c r="AB23" i="7"/>
  <c r="AB22" i="7"/>
  <c r="AB21" i="7"/>
  <c r="AB20" i="7"/>
  <c r="AB18" i="7"/>
  <c r="AB17" i="7"/>
  <c r="AB16" i="7"/>
  <c r="AB15" i="7"/>
  <c r="AB13" i="7"/>
  <c r="AB12" i="7"/>
  <c r="AB11" i="7"/>
  <c r="AB10" i="7"/>
  <c r="E84" i="7"/>
  <c r="C24" i="8" s="1"/>
  <c r="E24" i="7"/>
  <c r="C12" i="8" s="1"/>
  <c r="AA19" i="7"/>
  <c r="F19" i="7"/>
  <c r="G19" i="7"/>
  <c r="H19" i="7"/>
  <c r="K19" i="7"/>
  <c r="L19" i="7"/>
  <c r="M19" i="7"/>
  <c r="N19" i="7"/>
  <c r="R19" i="7"/>
  <c r="S19" i="7"/>
  <c r="T19" i="7"/>
  <c r="U19" i="7"/>
  <c r="V19" i="7"/>
  <c r="W19" i="7"/>
  <c r="X19" i="7"/>
  <c r="Y19" i="7"/>
  <c r="Z19" i="7"/>
  <c r="E19" i="7"/>
  <c r="C11" i="8" s="1"/>
  <c r="AP11" i="9"/>
  <c r="AP12" i="9"/>
  <c r="AP13" i="9"/>
  <c r="AP14" i="9"/>
  <c r="AP15" i="9"/>
  <c r="AP16" i="9"/>
  <c r="AP17" i="9"/>
  <c r="AP18" i="9"/>
  <c r="AP19" i="9"/>
  <c r="AP20" i="9"/>
  <c r="AP21" i="9"/>
  <c r="AP22" i="9"/>
  <c r="AP23" i="9"/>
  <c r="AP24" i="9"/>
  <c r="AP25" i="9"/>
  <c r="AP26" i="9"/>
  <c r="AP27" i="9"/>
  <c r="AP28" i="9"/>
  <c r="AP29" i="9"/>
  <c r="AP30" i="9"/>
  <c r="AP31" i="9"/>
  <c r="AP32" i="9"/>
  <c r="AP33" i="9"/>
  <c r="AP34" i="9"/>
  <c r="AP35" i="9"/>
  <c r="AP36" i="9"/>
  <c r="AP37" i="9"/>
  <c r="AP38" i="9"/>
  <c r="AP39" i="9"/>
  <c r="AP40" i="9"/>
  <c r="AP41" i="9"/>
  <c r="AP42" i="9"/>
  <c r="AP43" i="9"/>
  <c r="AP44" i="9"/>
  <c r="AP45" i="9"/>
  <c r="AP46" i="9"/>
  <c r="AP47" i="9"/>
  <c r="AP48" i="9"/>
  <c r="AP49" i="9"/>
  <c r="AP50" i="9"/>
  <c r="AP51" i="9"/>
  <c r="AP52" i="9"/>
  <c r="AP53" i="9"/>
  <c r="AP54" i="9"/>
  <c r="AP55" i="9"/>
  <c r="AP56" i="9"/>
  <c r="AP57" i="9"/>
  <c r="AP58" i="9"/>
  <c r="AP59" i="9"/>
  <c r="AP60" i="9"/>
  <c r="AP61" i="9"/>
  <c r="AP62" i="9"/>
  <c r="AP63" i="9"/>
  <c r="AP64" i="9"/>
  <c r="AP65" i="9"/>
  <c r="AP66" i="9"/>
  <c r="AP67" i="9"/>
  <c r="AP68" i="9"/>
  <c r="AP69" i="9"/>
  <c r="AP70" i="9"/>
  <c r="AP71" i="9"/>
  <c r="AP72" i="9"/>
  <c r="AP73" i="9"/>
  <c r="AP74" i="9"/>
  <c r="AP75" i="9"/>
  <c r="AP76" i="9"/>
  <c r="AP77" i="9"/>
  <c r="AP78" i="9"/>
  <c r="AP79" i="9"/>
  <c r="AP80" i="9"/>
  <c r="AP81" i="9"/>
  <c r="AP82" i="9"/>
  <c r="AP83" i="9"/>
  <c r="AP84" i="9"/>
  <c r="AP85" i="9"/>
  <c r="AP86" i="9"/>
  <c r="AP87" i="9"/>
  <c r="AP88" i="9"/>
  <c r="AP89" i="9"/>
  <c r="AP90" i="9"/>
  <c r="AP91" i="9"/>
  <c r="AP92" i="9"/>
  <c r="AP93" i="9"/>
  <c r="AP94" i="9"/>
  <c r="AP95" i="9"/>
  <c r="AP96" i="9"/>
  <c r="AP97" i="9"/>
  <c r="AP98" i="9"/>
  <c r="AP99" i="9"/>
  <c r="AP100" i="9"/>
  <c r="AP101" i="9"/>
  <c r="AP102" i="9"/>
  <c r="AP103" i="9"/>
  <c r="AP104" i="9"/>
  <c r="AP105" i="9"/>
  <c r="AP106" i="9"/>
  <c r="AP107" i="9"/>
  <c r="AP108" i="9"/>
  <c r="AP109" i="9"/>
  <c r="AP110" i="9"/>
  <c r="AP111" i="9"/>
  <c r="AP112" i="9"/>
  <c r="AP113" i="9"/>
  <c r="AP114" i="9"/>
  <c r="AP115" i="9"/>
  <c r="AP116" i="9"/>
  <c r="AP117" i="9"/>
  <c r="AP118" i="9"/>
  <c r="AP119" i="9"/>
  <c r="AP120" i="9"/>
  <c r="AP121" i="9"/>
  <c r="AP122" i="9"/>
  <c r="AP123" i="9"/>
  <c r="AP124" i="9"/>
  <c r="AP125" i="9"/>
  <c r="AP126" i="9"/>
  <c r="AP127" i="9"/>
  <c r="AP128" i="9"/>
  <c r="AP129" i="9"/>
  <c r="AP130" i="9"/>
  <c r="AP131" i="9"/>
  <c r="AP132" i="9"/>
  <c r="AP133" i="9"/>
  <c r="AP134" i="9"/>
  <c r="AP135" i="9"/>
  <c r="AP136" i="9"/>
  <c r="AP137" i="9"/>
  <c r="AP138" i="9"/>
  <c r="AP139" i="9"/>
  <c r="AP140" i="9"/>
  <c r="AP141" i="9"/>
  <c r="AP142" i="9"/>
  <c r="AP143" i="9"/>
  <c r="AP144" i="9"/>
  <c r="AP145" i="9"/>
  <c r="AP146" i="9"/>
  <c r="AP147" i="9"/>
  <c r="AP148" i="9"/>
  <c r="AP149" i="9"/>
  <c r="AP150" i="9"/>
  <c r="AP151" i="9"/>
  <c r="AP152" i="9"/>
  <c r="AP153" i="9"/>
  <c r="AP154" i="9"/>
  <c r="AP155" i="9"/>
  <c r="AP156" i="9"/>
  <c r="AP157" i="9"/>
  <c r="AP158" i="9"/>
  <c r="AP159" i="9"/>
  <c r="AP160" i="9"/>
  <c r="AP161" i="9"/>
  <c r="AP162" i="9"/>
  <c r="AP163" i="9"/>
  <c r="AP164" i="9"/>
  <c r="AP165" i="9"/>
  <c r="AP166" i="9"/>
  <c r="AP167" i="9"/>
  <c r="AP168" i="9"/>
  <c r="AP169" i="9"/>
  <c r="AP170" i="9"/>
  <c r="AP171" i="9"/>
  <c r="AP172" i="9"/>
  <c r="AP173" i="9"/>
  <c r="AP174" i="9"/>
  <c r="AP175" i="9"/>
  <c r="AP176" i="9"/>
  <c r="AP177" i="9"/>
  <c r="AP178" i="9"/>
  <c r="AP179" i="9"/>
  <c r="AP180" i="9"/>
  <c r="AP181" i="9"/>
  <c r="AP182" i="9"/>
  <c r="AP183" i="9"/>
  <c r="AP184" i="9"/>
  <c r="AP185" i="9"/>
  <c r="AP186" i="9"/>
  <c r="AP187" i="9"/>
  <c r="AP188" i="9"/>
  <c r="AP189" i="9"/>
  <c r="AP190" i="9"/>
  <c r="AP191" i="9"/>
  <c r="AP192" i="9"/>
  <c r="AP193" i="9"/>
  <c r="AP194" i="9"/>
  <c r="AP195" i="9"/>
  <c r="AP196" i="9"/>
  <c r="AP197" i="9"/>
  <c r="AP198" i="9"/>
  <c r="AP199" i="9"/>
  <c r="AP200" i="9"/>
  <c r="AP201" i="9"/>
  <c r="AP202" i="9"/>
  <c r="AP203" i="9"/>
  <c r="AP204" i="9"/>
  <c r="AP205" i="9"/>
  <c r="AP206" i="9"/>
  <c r="AP207" i="9"/>
  <c r="AP208" i="9"/>
  <c r="AP209" i="9"/>
  <c r="AP210" i="9"/>
  <c r="AP211" i="9"/>
  <c r="AP212" i="9"/>
  <c r="AP213" i="9"/>
  <c r="AP214" i="9"/>
  <c r="AP215" i="9"/>
  <c r="AP216" i="9"/>
  <c r="AP217" i="9"/>
  <c r="AP218" i="9"/>
  <c r="AP219" i="9"/>
  <c r="AP220" i="9"/>
  <c r="AP221" i="9"/>
  <c r="AP222" i="9"/>
  <c r="AP223" i="9"/>
  <c r="AP224" i="9"/>
  <c r="AP225" i="9"/>
  <c r="AP226" i="9"/>
  <c r="AP227" i="9"/>
  <c r="AP228" i="9"/>
  <c r="AP229" i="9"/>
  <c r="AP230" i="9"/>
  <c r="AP231" i="9"/>
  <c r="AP232" i="9"/>
  <c r="AP233" i="9"/>
  <c r="AP234" i="9"/>
  <c r="AP235" i="9"/>
  <c r="AP236" i="9"/>
  <c r="AP237" i="9"/>
  <c r="AP238" i="9"/>
  <c r="AP239" i="9"/>
  <c r="AP240" i="9"/>
  <c r="AP241" i="9"/>
  <c r="AP242" i="9"/>
  <c r="AP243" i="9"/>
  <c r="AP244" i="9"/>
  <c r="AP245" i="9"/>
  <c r="AP246" i="9"/>
  <c r="AP247" i="9"/>
  <c r="AP248" i="9"/>
  <c r="AP249" i="9"/>
  <c r="AP250" i="9"/>
  <c r="AP251" i="9"/>
  <c r="AP252" i="9"/>
  <c r="AP253" i="9"/>
  <c r="AP254" i="9"/>
  <c r="AP255" i="9"/>
  <c r="AP256" i="9"/>
  <c r="AP257" i="9"/>
  <c r="AP258" i="9"/>
  <c r="AP259" i="9"/>
  <c r="AP260" i="9"/>
  <c r="AP261" i="9"/>
  <c r="AP262" i="9"/>
  <c r="AP263" i="9"/>
  <c r="AP264" i="9"/>
  <c r="AP265" i="9"/>
  <c r="AP266" i="9"/>
  <c r="AP267" i="9"/>
  <c r="AP268" i="9"/>
  <c r="AP269" i="9"/>
  <c r="AP270" i="9"/>
  <c r="AP271" i="9"/>
  <c r="AP272" i="9"/>
  <c r="AP273" i="9"/>
  <c r="AP274" i="9"/>
  <c r="AP275" i="9"/>
  <c r="AP276" i="9"/>
  <c r="AP277" i="9"/>
  <c r="AP278" i="9"/>
  <c r="AP279" i="9"/>
  <c r="AP280" i="9"/>
  <c r="AP281" i="9"/>
  <c r="AP282" i="9"/>
  <c r="AP283" i="9"/>
  <c r="AP284" i="9"/>
  <c r="AP285" i="9"/>
  <c r="AP286" i="9"/>
  <c r="AP287" i="9"/>
  <c r="AP288" i="9"/>
  <c r="AP289" i="9"/>
  <c r="AP290" i="9"/>
  <c r="AP291" i="9"/>
  <c r="AP292" i="9"/>
  <c r="AP293" i="9"/>
  <c r="AP294" i="9"/>
  <c r="AP295" i="9"/>
  <c r="AP296" i="9"/>
  <c r="AP297" i="9"/>
  <c r="AP298" i="9"/>
  <c r="AP299" i="9"/>
  <c r="AP300" i="9"/>
  <c r="AP301" i="9"/>
  <c r="AP302" i="9"/>
  <c r="AP303" i="9"/>
  <c r="AP304" i="9"/>
  <c r="AP305" i="9"/>
  <c r="AP306" i="9"/>
  <c r="AP307" i="9"/>
  <c r="AP308" i="9"/>
  <c r="AP309" i="9"/>
  <c r="AP310" i="9"/>
  <c r="AP311" i="9"/>
  <c r="AP312" i="9"/>
  <c r="AP313" i="9"/>
  <c r="AP314" i="9"/>
  <c r="AP315" i="9"/>
  <c r="AP316" i="9"/>
  <c r="AP317" i="9"/>
  <c r="AP318" i="9"/>
  <c r="AP319" i="9"/>
  <c r="AP320" i="9"/>
  <c r="AP321" i="9"/>
  <c r="AP8" i="9"/>
  <c r="AP9" i="9"/>
  <c r="AP10" i="9"/>
  <c r="AZ104" i="7"/>
  <c r="E104" i="7"/>
  <c r="C28" i="8" s="1"/>
  <c r="AZ99" i="7"/>
  <c r="E99" i="7"/>
  <c r="C27" i="8" s="1"/>
  <c r="D98" i="7"/>
  <c r="D97" i="7"/>
  <c r="D96" i="7"/>
  <c r="D95" i="7"/>
  <c r="AZ94" i="7"/>
  <c r="E94" i="7"/>
  <c r="C26" i="8" s="1"/>
  <c r="AZ89" i="7"/>
  <c r="E89" i="7"/>
  <c r="C25" i="8" s="1"/>
  <c r="AZ84" i="7"/>
  <c r="AZ79" i="7"/>
  <c r="E79" i="7"/>
  <c r="C23" i="8" s="1"/>
  <c r="AZ74" i="7"/>
  <c r="E74" i="7"/>
  <c r="C22" i="8" s="1"/>
  <c r="AZ69" i="7"/>
  <c r="E69" i="7"/>
  <c r="C21" i="8" s="1"/>
  <c r="D68" i="7"/>
  <c r="D67" i="7"/>
  <c r="D66" i="7"/>
  <c r="D65" i="7"/>
  <c r="AZ64" i="7"/>
  <c r="E64" i="7"/>
  <c r="C20" i="8" s="1"/>
  <c r="AZ59" i="7"/>
  <c r="E59" i="7"/>
  <c r="C19" i="8" s="1"/>
  <c r="E54" i="7"/>
  <c r="C18" i="8" s="1"/>
  <c r="E49" i="7"/>
  <c r="C17" i="8" s="1"/>
  <c r="AZ44" i="7"/>
  <c r="E44" i="7"/>
  <c r="C16" i="8" s="1"/>
  <c r="AZ39" i="7"/>
  <c r="E39" i="7"/>
  <c r="C15" i="8" s="1"/>
  <c r="AZ34" i="7"/>
  <c r="E34" i="7"/>
  <c r="C14" i="8" s="1"/>
  <c r="D33" i="7"/>
  <c r="D32" i="7"/>
  <c r="D31" i="7"/>
  <c r="D30" i="7"/>
  <c r="AZ29" i="7"/>
  <c r="E29" i="7"/>
  <c r="C13" i="8" s="1"/>
  <c r="AZ24" i="7"/>
  <c r="AZ19" i="7"/>
  <c r="AZ14" i="7"/>
  <c r="E14" i="7"/>
  <c r="C10" i="8" s="1"/>
  <c r="AZ105" i="7" l="1"/>
  <c r="AB19" i="7"/>
  <c r="T32" i="8" l="1"/>
  <c r="R3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HP</author>
    <author>CAROLINA</author>
    <author>Rosa Helena Ruiz</author>
    <author>Rosa Elena Ruiz</author>
  </authors>
  <commentList>
    <comment ref="CA2" authorId="0" shapeId="0" xr:uid="{00000000-0006-0000-0100-000001000000}">
      <text>
        <r>
          <rPr>
            <b/>
            <sz val="9"/>
            <color rgb="FF000000"/>
            <rFont val="Tahoma"/>
            <family val="2"/>
          </rPr>
          <t>USUARIO:</t>
        </r>
        <r>
          <rPr>
            <sz val="9"/>
            <color rgb="FF000000"/>
            <rFont val="Tahoma"/>
            <family val="2"/>
          </rPr>
          <t xml:space="preserve">
</t>
        </r>
        <r>
          <rPr>
            <sz val="9"/>
            <color rgb="FF000000"/>
            <rFont val="Tahoma"/>
            <family val="2"/>
          </rPr>
          <t>OBJETIVOS DE DESARROLLO SOSTENIBLES</t>
        </r>
      </text>
    </comment>
    <comment ref="CB2" authorId="0" shapeId="0" xr:uid="{00000000-0006-0000-0100-000002000000}">
      <text>
        <r>
          <rPr>
            <b/>
            <sz val="9"/>
            <color rgb="FF000000"/>
            <rFont val="Tahoma"/>
            <family val="2"/>
          </rPr>
          <t>USUARIO:</t>
        </r>
        <r>
          <rPr>
            <sz val="9"/>
            <color rgb="FF000000"/>
            <rFont val="Tahoma"/>
            <family val="2"/>
          </rPr>
          <t xml:space="preserve">
</t>
        </r>
        <r>
          <rPr>
            <sz val="9"/>
            <color rgb="FF000000"/>
            <rFont val="Tahoma"/>
            <family val="2"/>
          </rPr>
          <t>DERECHOS HUMANOS</t>
        </r>
      </text>
    </comment>
    <comment ref="CC2" authorId="0" shapeId="0" xr:uid="{00000000-0006-0000-0100-000003000000}">
      <text>
        <r>
          <rPr>
            <b/>
            <sz val="9"/>
            <color rgb="FF000000"/>
            <rFont val="Tahoma"/>
            <family val="2"/>
          </rPr>
          <t>USUARIO:</t>
        </r>
        <r>
          <rPr>
            <sz val="9"/>
            <color rgb="FF000000"/>
            <rFont val="Tahoma"/>
            <family val="2"/>
          </rPr>
          <t xml:space="preserve">
</t>
        </r>
        <r>
          <rPr>
            <sz val="9"/>
            <color rgb="FF000000"/>
            <rFont val="Tahoma"/>
            <family val="2"/>
          </rPr>
          <t>PILARES DE PAZ</t>
        </r>
      </text>
    </comment>
    <comment ref="AK5" authorId="0" shapeId="0" xr:uid="{00000000-0006-0000-0100-000004000000}">
      <text>
        <r>
          <rPr>
            <b/>
            <sz val="9"/>
            <color rgb="FF000000"/>
            <rFont val="Tahoma"/>
            <family val="2"/>
          </rPr>
          <t>USUARIO:</t>
        </r>
        <r>
          <rPr>
            <sz val="9"/>
            <color rgb="FF000000"/>
            <rFont val="Tahoma"/>
            <family val="2"/>
          </rPr>
          <t xml:space="preserve">
</t>
        </r>
        <r>
          <rPr>
            <sz val="9"/>
            <color rgb="FF000000"/>
            <rFont val="Tahoma"/>
            <family val="2"/>
          </rPr>
          <t>REVISAR CON NUEVO PLAN DE DESARROLLO</t>
        </r>
      </text>
    </comment>
    <comment ref="AM5" authorId="1" shapeId="0" xr:uid="{00000000-0006-0000-0100-000005000000}">
      <text>
        <r>
          <rPr>
            <b/>
            <sz val="9"/>
            <color rgb="FF000000"/>
            <rFont val="Tahoma"/>
            <family val="2"/>
          </rPr>
          <t>HP:</t>
        </r>
        <r>
          <rPr>
            <sz val="9"/>
            <color rgb="FF000000"/>
            <rFont val="Tahoma"/>
            <family val="2"/>
          </rPr>
          <t xml:space="preserve">
</t>
        </r>
        <r>
          <rPr>
            <sz val="9"/>
            <color rgb="FF000000"/>
            <rFont val="Tahoma"/>
            <family val="2"/>
          </rPr>
          <t xml:space="preserve">Describa el beneficio producto o servicio
</t>
        </r>
      </text>
    </comment>
    <comment ref="AQ5" authorId="0" shapeId="0" xr:uid="{00000000-0006-0000-0100-000006000000}">
      <text>
        <r>
          <rPr>
            <b/>
            <sz val="9"/>
            <color rgb="FF000000"/>
            <rFont val="Tahoma"/>
            <family val="2"/>
          </rPr>
          <t>USUARIO:</t>
        </r>
        <r>
          <rPr>
            <sz val="9"/>
            <color rgb="FF000000"/>
            <rFont val="Tahoma"/>
            <family val="2"/>
          </rPr>
          <t xml:space="preserve">
</t>
        </r>
        <r>
          <rPr>
            <sz val="9"/>
            <color rgb="FF000000"/>
            <rFont val="Tahoma"/>
            <family val="2"/>
          </rPr>
          <t>ACTUALIZAR CON EL PLAN DE DESARROLLO 2020 - 2023</t>
        </r>
      </text>
    </comment>
    <comment ref="AT5" authorId="0" shapeId="0" xr:uid="{00000000-0006-0000-0100-000007000000}">
      <text>
        <r>
          <rPr>
            <b/>
            <sz val="9"/>
            <color rgb="FF000000"/>
            <rFont val="Tahoma"/>
            <family val="2"/>
          </rPr>
          <t>USUARIO:</t>
        </r>
        <r>
          <rPr>
            <sz val="9"/>
            <color rgb="FF000000"/>
            <rFont val="Tahoma"/>
            <family val="2"/>
          </rPr>
          <t xml:space="preserve">
</t>
        </r>
        <r>
          <rPr>
            <sz val="9"/>
            <color rgb="FF000000"/>
            <rFont val="Tahoma"/>
            <family val="2"/>
          </rPr>
          <t>escriba el nombre completo del proyecto</t>
        </r>
      </text>
    </comment>
    <comment ref="BA5" authorId="2" shapeId="0" xr:uid="{00000000-0006-0000-0100-000008000000}">
      <text>
        <r>
          <rPr>
            <b/>
            <sz val="9"/>
            <color rgb="FF000000"/>
            <rFont val="Tahoma"/>
            <family val="2"/>
          </rPr>
          <t xml:space="preserve">CTO- Contrato
</t>
        </r>
        <r>
          <rPr>
            <b/>
            <sz val="9"/>
            <color rgb="FF000000"/>
            <rFont val="Tahoma"/>
            <family val="2"/>
          </rPr>
          <t xml:space="preserve">CV- Convenios
</t>
        </r>
        <r>
          <rPr>
            <b/>
            <sz val="9"/>
            <color rgb="FF000000"/>
            <rFont val="Tahoma"/>
            <family val="2"/>
          </rPr>
          <t xml:space="preserve">CA- Carta de aceptacion
</t>
        </r>
        <r>
          <rPr>
            <b/>
            <sz val="9"/>
            <color rgb="FF000000"/>
            <rFont val="Tahoma"/>
            <family val="2"/>
          </rPr>
          <t xml:space="preserve">RES-. Resolucion
</t>
        </r>
        <r>
          <rPr>
            <b/>
            <sz val="9"/>
            <color rgb="FF000000"/>
            <rFont val="Tahoma"/>
            <family val="2"/>
          </rPr>
          <t>incorpore otras columnas de este componente si la ejecución se realizó a través de más de un contrato o convenio.</t>
        </r>
      </text>
    </comment>
    <comment ref="K6" authorId="3" shapeId="0" xr:uid="{00000000-0006-0000-0100-000009000000}">
      <text>
        <r>
          <rPr>
            <b/>
            <sz val="9"/>
            <color indexed="81"/>
            <rFont val="Tahoma"/>
            <family val="2"/>
          </rPr>
          <t>Rosa Helena Ruiz:</t>
        </r>
        <r>
          <rPr>
            <sz val="9"/>
            <color indexed="81"/>
            <rFont val="Tahoma"/>
            <family val="2"/>
          </rPr>
          <t xml:space="preserve">
NB: Sexo incluido según sentencia T-033 del 04 de febrero de 2022</t>
        </r>
      </text>
    </comment>
    <comment ref="O6" authorId="4" shapeId="0" xr:uid="{00000000-0006-0000-0100-00000A000000}">
      <text>
        <r>
          <rPr>
            <sz val="9"/>
            <color rgb="FF000000"/>
            <rFont val="Tahoma"/>
            <family val="2"/>
          </rPr>
          <t>L: Lesbianas
G: Gays
B: Bisexuales
T: Transexuales y Travestis
I:  Intersexuales
Q: Queer (libre de etiquetas)
+: Colectivos no representados en las siglas</t>
        </r>
      </text>
    </comment>
    <comment ref="S6" authorId="2" shapeId="0" xr:uid="{00000000-0006-0000-0100-00000B000000}">
      <text>
        <r>
          <rPr>
            <b/>
            <sz val="9"/>
            <color rgb="FF000000"/>
            <rFont val="Tahoma"/>
            <family val="2"/>
          </rPr>
          <t xml:space="preserve">-Instituciona- 
</t>
        </r>
        <r>
          <rPr>
            <b/>
            <sz val="9"/>
            <color rgb="FF000000"/>
            <rFont val="Tahoma"/>
            <family val="2"/>
          </rPr>
          <t>Ausencia de la presencia de instituciones del estados</t>
        </r>
      </text>
    </comment>
    <comment ref="T6" authorId="2" shapeId="0" xr:uid="{00000000-0006-0000-0100-00000C000000}">
      <text>
        <r>
          <rPr>
            <b/>
            <sz val="9"/>
            <color rgb="FF000000"/>
            <rFont val="Tahoma"/>
            <family val="2"/>
          </rPr>
          <t xml:space="preserve">- Ambiental
</t>
        </r>
        <r>
          <rPr>
            <b/>
            <sz val="9"/>
            <color rgb="FF000000"/>
            <rFont val="Tahoma"/>
            <family val="2"/>
          </rPr>
          <t xml:space="preserve">Exposicion a ambientes contaminados o de alto riesgo ambiental 
</t>
        </r>
      </text>
    </comment>
    <comment ref="U6" authorId="2" shapeId="0" xr:uid="{00000000-0006-0000-0100-00000D000000}">
      <text>
        <r>
          <rPr>
            <b/>
            <sz val="9"/>
            <color rgb="FF000000"/>
            <rFont val="Tahoma"/>
            <family val="2"/>
          </rPr>
          <t xml:space="preserve">- Salud
</t>
        </r>
        <r>
          <rPr>
            <b/>
            <sz val="9"/>
            <color rgb="FF000000"/>
            <rFont val="Tahoma"/>
            <family val="2"/>
          </rPr>
          <t>imposibilidad al acceso a servicios de salud</t>
        </r>
      </text>
    </comment>
    <comment ref="AL6" authorId="2" shapeId="0" xr:uid="{00000000-0006-0000-0100-00000E000000}">
      <text>
        <r>
          <rPr>
            <b/>
            <sz val="9"/>
            <color rgb="FF000000"/>
            <rFont val="Tahoma"/>
            <family val="2"/>
          </rPr>
          <t>Servicios y productos que les interesa</t>
        </r>
      </text>
    </comment>
    <comment ref="AQ6" authorId="0" shapeId="0" xr:uid="{00000000-0006-0000-0100-00000F000000}">
      <text>
        <r>
          <rPr>
            <b/>
            <sz val="9"/>
            <color rgb="FF000000"/>
            <rFont val="Tahoma"/>
            <family val="2"/>
          </rPr>
          <t>USUARIO:</t>
        </r>
        <r>
          <rPr>
            <sz val="9"/>
            <color rgb="FF000000"/>
            <rFont val="Tahoma"/>
            <family val="2"/>
          </rPr>
          <t xml:space="preserve">
</t>
        </r>
        <r>
          <rPr>
            <sz val="9"/>
            <color rgb="FF000000"/>
            <rFont val="Tahoma"/>
            <family val="2"/>
          </rPr>
          <t xml:space="preserve">de acuerdo a como esté en el Plan de Desarrollo
</t>
        </r>
      </text>
    </comment>
    <comment ref="AR6" authorId="0" shapeId="0" xr:uid="{00000000-0006-0000-0100-000010000000}">
      <text>
        <r>
          <rPr>
            <b/>
            <sz val="9"/>
            <color rgb="FF000000"/>
            <rFont val="Tahoma"/>
            <family val="2"/>
          </rPr>
          <t>USUARIO:</t>
        </r>
        <r>
          <rPr>
            <sz val="9"/>
            <color rgb="FF000000"/>
            <rFont val="Tahoma"/>
            <family val="2"/>
          </rPr>
          <t xml:space="preserve">
</t>
        </r>
        <r>
          <rPr>
            <sz val="9"/>
            <color rgb="FF000000"/>
            <rFont val="Tahoma"/>
            <family val="2"/>
          </rPr>
          <t>escríbalo tal como se encuentra en el plan de desarrollo</t>
        </r>
      </text>
    </comment>
    <comment ref="AS6" authorId="0" shapeId="0" xr:uid="{00000000-0006-0000-0100-000011000000}">
      <text>
        <r>
          <rPr>
            <b/>
            <sz val="9"/>
            <color rgb="FF000000"/>
            <rFont val="Tahoma"/>
            <family val="2"/>
          </rPr>
          <t>USUARIO:</t>
        </r>
        <r>
          <rPr>
            <sz val="9"/>
            <color rgb="FF000000"/>
            <rFont val="Tahoma"/>
            <family val="2"/>
          </rPr>
          <t xml:space="preserve">
</t>
        </r>
        <r>
          <rPr>
            <sz val="9"/>
            <color rgb="FF000000"/>
            <rFont val="Tahoma"/>
            <family val="2"/>
          </rPr>
          <t>escribalo tal como está en el Plan de Desarrollo</t>
        </r>
      </text>
    </comment>
    <comment ref="BA6" authorId="2" shapeId="0" xr:uid="{00000000-0006-0000-0100-000012000000}">
      <text>
        <r>
          <rPr>
            <b/>
            <sz val="9"/>
            <color rgb="FF000000"/>
            <rFont val="Tahoma"/>
            <family val="2"/>
          </rPr>
          <t xml:space="preserve">CTO
</t>
        </r>
        <r>
          <rPr>
            <b/>
            <sz val="9"/>
            <color rgb="FF000000"/>
            <rFont val="Tahoma"/>
            <family val="2"/>
          </rPr>
          <t xml:space="preserve">CV 
</t>
        </r>
        <r>
          <rPr>
            <b/>
            <sz val="9"/>
            <color rgb="FF000000"/>
            <rFont val="Tahoma"/>
            <family val="2"/>
          </rPr>
          <t xml:space="preserve">CA
</t>
        </r>
        <r>
          <rPr>
            <b/>
            <sz val="9"/>
            <color rgb="FF000000"/>
            <rFont val="Tahoma"/>
            <family val="2"/>
          </rPr>
          <t>RES</t>
        </r>
      </text>
    </comment>
    <comment ref="G7" authorId="4" shapeId="0" xr:uid="{00000000-0006-0000-0100-000013000000}">
      <text>
        <r>
          <rPr>
            <sz val="9"/>
            <color indexed="81"/>
            <rFont val="Tahoma"/>
            <family val="2"/>
          </rPr>
          <t xml:space="preserve">U:  Urbano
</t>
        </r>
      </text>
    </comment>
    <comment ref="H7" authorId="4" shapeId="0" xr:uid="{00000000-0006-0000-0100-000014000000}">
      <text>
        <r>
          <rPr>
            <sz val="9"/>
            <color indexed="81"/>
            <rFont val="Tahoma"/>
            <family val="2"/>
          </rPr>
          <t xml:space="preserve">R: Rural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Rosa Helena Ruiz</author>
    <author>Rosa Elena Ruiz</author>
  </authors>
  <commentList>
    <comment ref="B7" authorId="0" shapeId="0" xr:uid="{00000000-0006-0000-0200-000001000000}">
      <text>
        <r>
          <rPr>
            <b/>
            <sz val="9"/>
            <color rgb="FF000000"/>
            <rFont val="Tahoma"/>
            <family val="2"/>
          </rPr>
          <t>Usuario:</t>
        </r>
        <r>
          <rPr>
            <sz val="9"/>
            <color rgb="FF000000"/>
            <rFont val="Tahoma"/>
            <family val="2"/>
          </rPr>
          <t xml:space="preserve">
</t>
        </r>
        <r>
          <rPr>
            <sz val="9"/>
            <color rgb="FF000000"/>
            <rFont val="Tahoma"/>
            <family val="2"/>
          </rPr>
          <t>Se registra el consolidado por actividad, independiente del número de contratistas.</t>
        </r>
      </text>
    </comment>
    <comment ref="G8" authorId="1" shapeId="0" xr:uid="{2A52338F-0FAC-45A3-A722-293BDFB5B9C7}">
      <text>
        <r>
          <rPr>
            <b/>
            <sz val="9"/>
            <color indexed="81"/>
            <rFont val="Tahoma"/>
            <family val="2"/>
          </rPr>
          <t>Rosa Helena Ruiz:</t>
        </r>
        <r>
          <rPr>
            <sz val="9"/>
            <color indexed="81"/>
            <rFont val="Tahoma"/>
            <family val="2"/>
          </rPr>
          <t xml:space="preserve">
NB: Sexo incluido según sentencia T-033 del 04 de febrero de 2022</t>
        </r>
      </text>
    </comment>
    <comment ref="K8" authorId="2" shapeId="0" xr:uid="{5E91EBC4-AFC8-4C9D-8877-BBD445753576}">
      <text>
        <r>
          <rPr>
            <sz val="9"/>
            <color rgb="FF000000"/>
            <rFont val="Tahoma"/>
            <family val="2"/>
          </rPr>
          <t>L: Lesbianas
G: Gays
B: Bisexuales
T: Transexuales y Travestis
I:  Intersexuales
Q: Queer (libre de etiquetas)
+: Colectivos no representados en las siglas</t>
        </r>
      </text>
    </comment>
    <comment ref="E9" authorId="2" shapeId="0" xr:uid="{00000000-0006-0000-0200-000006000000}">
      <text>
        <r>
          <rPr>
            <sz val="9"/>
            <color indexed="81"/>
            <rFont val="Tahoma"/>
            <family val="2"/>
          </rPr>
          <t xml:space="preserve">U:  Urbano
</t>
        </r>
      </text>
    </comment>
    <comment ref="F9" authorId="2" shapeId="0" xr:uid="{00000000-0006-0000-0200-000007000000}">
      <text>
        <r>
          <rPr>
            <sz val="9"/>
            <color indexed="81"/>
            <rFont val="Tahoma"/>
            <family val="2"/>
          </rPr>
          <t xml:space="preserve">R: Rural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Rosa Helena Ruiz</author>
    <author>Rosa Elena Ruiz</author>
    <author>HELENA RUIZ</author>
  </authors>
  <commentList>
    <comment ref="E8" authorId="0" shapeId="0" xr:uid="{1A947A20-C726-4207-BB78-2B0EE863346E}">
      <text>
        <r>
          <rPr>
            <b/>
            <sz val="9"/>
            <color indexed="81"/>
            <rFont val="Tahoma"/>
            <family val="2"/>
          </rPr>
          <t>Rosa Helena Ruiz:</t>
        </r>
        <r>
          <rPr>
            <sz val="9"/>
            <color indexed="81"/>
            <rFont val="Tahoma"/>
            <family val="2"/>
          </rPr>
          <t xml:space="preserve">
NB: Sexo incluido según sentencia T-033 del 04 de febrero de 2022</t>
        </r>
      </text>
    </comment>
    <comment ref="I8" authorId="1" shapeId="0" xr:uid="{CE2A95D4-9963-4EFC-BFF1-4E19E2B12EB3}">
      <text>
        <r>
          <rPr>
            <sz val="9"/>
            <color rgb="FF000000"/>
            <rFont val="Tahoma"/>
            <family val="2"/>
          </rPr>
          <t>L: Lesbianas
G: Gays
B: Bisexuales
T: Transexuales y Travestis
I:  Intersexuales
Q: Queer (libre de etiquetas)
+: Colectivos no representados en las siglas</t>
        </r>
      </text>
    </comment>
    <comment ref="C9" authorId="1" shapeId="0" xr:uid="{8048DC73-3872-4DDC-A579-B5E7DB061C17}">
      <text>
        <r>
          <rPr>
            <sz val="9"/>
            <color indexed="81"/>
            <rFont val="Tahoma"/>
            <family val="2"/>
          </rPr>
          <t xml:space="preserve">U:  Urbano
</t>
        </r>
      </text>
    </comment>
    <comment ref="D9" authorId="1" shapeId="0" xr:uid="{974A0155-E4D3-4631-8D6A-D59D3E1644D4}">
      <text>
        <r>
          <rPr>
            <sz val="9"/>
            <color indexed="81"/>
            <rFont val="Tahoma"/>
            <family val="2"/>
          </rPr>
          <t xml:space="preserve">R: Rural
</t>
        </r>
      </text>
    </comment>
    <comment ref="W10" authorId="2" shapeId="0" xr:uid="{00000000-0006-0000-0300-000007000000}">
      <text>
        <r>
          <rPr>
            <b/>
            <sz val="9"/>
            <color rgb="FF000000"/>
            <rFont val="Tahoma"/>
            <family val="2"/>
          </rPr>
          <t>HELENA RUIZ:</t>
        </r>
        <r>
          <rPr>
            <sz val="9"/>
            <color rgb="FF000000"/>
            <rFont val="Tahoma"/>
            <family val="2"/>
          </rPr>
          <t xml:space="preserve">
</t>
        </r>
        <r>
          <rPr>
            <sz val="9"/>
            <color rgb="FF000000"/>
            <rFont val="Tahoma"/>
            <family val="2"/>
          </rPr>
          <t xml:space="preserve">Sumatoria únicamente grupo etáreo
</t>
        </r>
      </text>
    </comment>
  </commentList>
</comments>
</file>

<file path=xl/sharedStrings.xml><?xml version="1.0" encoding="utf-8"?>
<sst xmlns="http://schemas.openxmlformats.org/spreadsheetml/2006/main" count="630" uniqueCount="506">
  <si>
    <t>Tipo de solicitud</t>
  </si>
  <si>
    <t>Denuncia</t>
  </si>
  <si>
    <t>Judicial</t>
  </si>
  <si>
    <t>Ente control</t>
  </si>
  <si>
    <t>Medio utilizado  por el solicitante</t>
  </si>
  <si>
    <t>Buzón</t>
  </si>
  <si>
    <t>Teléfono</t>
  </si>
  <si>
    <t>Email</t>
  </si>
  <si>
    <t>Sugerencia</t>
  </si>
  <si>
    <t>Prioritario</t>
  </si>
  <si>
    <t>Reclamo</t>
  </si>
  <si>
    <t>Queja</t>
  </si>
  <si>
    <t>Escrito Externo</t>
  </si>
  <si>
    <t>Escrito Interno</t>
  </si>
  <si>
    <t>Falta tipo solicitud</t>
  </si>
  <si>
    <t>Petición Información</t>
  </si>
  <si>
    <t>Petición Particulares</t>
  </si>
  <si>
    <t>Seleccione</t>
  </si>
  <si>
    <t>TIPO DE EVENTO</t>
  </si>
  <si>
    <t>N°</t>
  </si>
  <si>
    <t>F</t>
  </si>
  <si>
    <t>M</t>
  </si>
  <si>
    <t>ENFOQUE DE GÉNERO</t>
  </si>
  <si>
    <t>U</t>
  </si>
  <si>
    <t>R</t>
  </si>
  <si>
    <t>Indígenas</t>
  </si>
  <si>
    <t>ENFOQUE DIFERENCIAL/POBLACIONAL</t>
  </si>
  <si>
    <t xml:space="preserve">Institucional </t>
  </si>
  <si>
    <t xml:space="preserve">Ambiental </t>
  </si>
  <si>
    <t xml:space="preserve">Educativa </t>
  </si>
  <si>
    <t xml:space="preserve">Discapacidad </t>
  </si>
  <si>
    <t xml:space="preserve">Habitante de la calle </t>
  </si>
  <si>
    <t>Comun. Negras - Afro- Raizales - Palenqueras</t>
  </si>
  <si>
    <t xml:space="preserve">FECHA: </t>
  </si>
  <si>
    <t xml:space="preserve">HORA: </t>
  </si>
  <si>
    <t>Asistencia Técnica:</t>
  </si>
  <si>
    <t>Capacitación:</t>
  </si>
  <si>
    <r>
      <rPr>
        <b/>
        <sz val="11"/>
        <rFont val="Arial"/>
        <family val="2"/>
      </rPr>
      <t>TEMA</t>
    </r>
    <r>
      <rPr>
        <sz val="11"/>
        <rFont val="Arial"/>
        <family val="2"/>
      </rPr>
      <t>:</t>
    </r>
  </si>
  <si>
    <t>Cultural</t>
  </si>
  <si>
    <t xml:space="preserve">Salud </t>
  </si>
  <si>
    <t xml:space="preserve">Cabeza de Hogar </t>
  </si>
  <si>
    <t xml:space="preserve">Víctimas de Conflicto </t>
  </si>
  <si>
    <t>CC</t>
  </si>
  <si>
    <t>CASILLA</t>
  </si>
  <si>
    <t>DESCRIPCION</t>
  </si>
  <si>
    <t xml:space="preserve">Favor diligenciar todo el formato en Arial 9, no utilice negrillas </t>
  </si>
  <si>
    <t>Registre el numero de documento de identificación de la persona natural, sin puntos</t>
  </si>
  <si>
    <t>Esta información es importante para la ubicación de ejecución de los proyectos a través de mapeo, como un sistema de información gráfico.</t>
  </si>
  <si>
    <t>Registre el medio a través del cual se entera de la gestión y proyectos que adelanta la administración departamental (radio, página web, redes sociales, juntas de acción comunal)</t>
  </si>
  <si>
    <t>Registre si los recursos utilizador para atender esta necesidad fueron de Inversión o Gestión (Recursos gestionados con el sector privado u otros, que no requirió presupuesto de la administración.)</t>
  </si>
  <si>
    <t>Clasifique la ejecución del proyecto, o contrato si atiende a un Objetivo de Desarrollo Sostenible, Derechos Humanos o Pilares de Paz</t>
  </si>
  <si>
    <t>Seleccione a que Política Pública se está dando cumplimiento con éste bien o servicio entregado a la persona. O marque N/A</t>
  </si>
  <si>
    <t>Seleccione con el desarrollo de éste proyecto, contrato o entrega e bien y servicio a que política institucional del Modelo Integrado de Planeación y Gestión está atendiendo, requerido para informes de empalme.</t>
  </si>
  <si>
    <t>Registre el numero del Acto Administrativo</t>
  </si>
  <si>
    <t xml:space="preserve">hoja: </t>
  </si>
  <si>
    <t>ACTIVIDAD</t>
  </si>
  <si>
    <t>En esta hoja se registra de acuerdo a lo diligenciado en la tabla 6 de Ciudadanos, el total de ciudadanos por actividad y por Municipios. En el encabeza se diligencia la meta de producto que se atiende de acuerdo al Plan de Desarrollo. Se consolidará lo de todos los contratos ejecutados del proyecto.</t>
  </si>
  <si>
    <t>hoja:</t>
  </si>
  <si>
    <t>PROYECTO</t>
  </si>
  <si>
    <t>En esta hoja se registra de acuerdo a lo diligenciado en la hoja de ACTIVIDAD, el total de población atendida por Municipio (se suman los total de las actividades de los contratos realizados con cargo al proyecto y por municipio), y en el encabezado se diligencia el nombre del proyecto que se ejecuta., se totaliza cada columna de informacion de enfoque de género, población vulnerable e identificando el ODS, DDHH o Pilares de paz que se atendieron con el proyecto, por municipio, Esta hoja es importante porque es el consolidado que se tendrá en cuenta para informar la gestión y avance a plan de desarrollo con los requerimientos de identificación poblacional, enfoque diferencia, y ODS, DDHH, Pilares de Paz y Políticas Públicas e Institucionales.</t>
  </si>
  <si>
    <t>INSTRUMENTO PARA CONSOLIDAR LOS DATOS CORRESPONDIENTES A LA POBLACIÓN BENEFICIADA CON ENFOQUE DIFERENCIAL 
 DE LAS ACTIVIDADES CONTRACTUALES DESARROLLADAS Y SU CARACTERIZACIÓN RESPECTIVA</t>
  </si>
  <si>
    <t>POBLACIÓN BENEFICIADA DIRECTA: Se registrará la información de la población que de manera directa fue beneficiada por la ejecución de 
cada una de las actividades desarrolladas para el cumplimiento de la Meta de Producto.</t>
  </si>
  <si>
    <t>NOMBRE DE LA META PRODUCTO</t>
  </si>
  <si>
    <t>Actividad Contractual</t>
  </si>
  <si>
    <t>ODS / DD HH / ACUERDO DE PAZ</t>
  </si>
  <si>
    <t>Municipio</t>
  </si>
  <si>
    <t xml:space="preserve">Área Urbana
/Rural
</t>
  </si>
  <si>
    <t>GRUPOS ETAREOS</t>
  </si>
  <si>
    <t>TOTAL POBLACIÓN ATENDIDA</t>
  </si>
  <si>
    <t xml:space="preserve">Primera infancia  0-5 años </t>
  </si>
  <si>
    <t xml:space="preserve">Infancia 6 a 11 años </t>
  </si>
  <si>
    <t xml:space="preserve">Adolescencia 12 a 17 años </t>
  </si>
  <si>
    <t>Jóvenes 18 a 28 años</t>
  </si>
  <si>
    <t>Adulto  29-60</t>
  </si>
  <si>
    <t>Mayores  de 61 años</t>
  </si>
  <si>
    <t>Aguazul</t>
  </si>
  <si>
    <t>Total Aguazul</t>
  </si>
  <si>
    <t>Chámeza</t>
  </si>
  <si>
    <t>Total Chámeza</t>
  </si>
  <si>
    <t>Hato Corozal</t>
  </si>
  <si>
    <t>Total Hato Corozal</t>
  </si>
  <si>
    <t>La Salina</t>
  </si>
  <si>
    <t>Total La Salina</t>
  </si>
  <si>
    <t>Total Maní</t>
  </si>
  <si>
    <t>Monterrey</t>
  </si>
  <si>
    <t>Total Monterrey</t>
  </si>
  <si>
    <t>Nunchía</t>
  </si>
  <si>
    <t>Total Nunchía</t>
  </si>
  <si>
    <t>Orocué</t>
  </si>
  <si>
    <t>Total Orocué</t>
  </si>
  <si>
    <t>Paz de Ariporo</t>
  </si>
  <si>
    <t>Total Paz de Ariporo</t>
  </si>
  <si>
    <t>Pore</t>
  </si>
  <si>
    <t>Total Pore</t>
  </si>
  <si>
    <t>Recetor</t>
  </si>
  <si>
    <t>Total Recetor</t>
  </si>
  <si>
    <t>Total Sabanalarga</t>
  </si>
  <si>
    <t xml:space="preserve">Sácama </t>
  </si>
  <si>
    <t xml:space="preserve">Total Sácama </t>
  </si>
  <si>
    <t>San Luis de Palenque</t>
  </si>
  <si>
    <t>Total San Luis de Palenque</t>
  </si>
  <si>
    <t>Támara</t>
  </si>
  <si>
    <t>Total Támara</t>
  </si>
  <si>
    <t>Tauramena</t>
  </si>
  <si>
    <t>Total Tauramena</t>
  </si>
  <si>
    <t>Trinidad</t>
  </si>
  <si>
    <t>Total Trinidad</t>
  </si>
  <si>
    <t xml:space="preserve">Total Villanueva </t>
  </si>
  <si>
    <t>Yopal</t>
  </si>
  <si>
    <t>Total Yopal</t>
  </si>
  <si>
    <t>Total general</t>
  </si>
  <si>
    <t>VERIFICACIÓN DE DATOS - POR FAVOR NO BORRAR</t>
  </si>
  <si>
    <t>FECHA ÚLTIMA ACTUALIZACIÓN DE LA INFORMACIÓN:</t>
  </si>
  <si>
    <t>Estado de la solicitud</t>
  </si>
  <si>
    <t>Finalizada</t>
  </si>
  <si>
    <t>En trámite</t>
  </si>
  <si>
    <t>TOTAL GENERAL</t>
  </si>
  <si>
    <t>Villanueva</t>
  </si>
  <si>
    <t>Sabanalarga</t>
  </si>
  <si>
    <t>Maní</t>
  </si>
  <si>
    <t xml:space="preserve">Municipio </t>
  </si>
  <si>
    <t xml:space="preserve">POBLACIÓN BENEFICIADA DIRECTA: Se registrará la información de la población que de manera directa fue beneficiada por la ejecución de cada uno de los proyectos desarrollados para el cumplimiento de las Metas de Producto. </t>
  </si>
  <si>
    <t>INSTRUMENTO PARA CONSOLIDAR LOS DATOS CORRESPONDIENTES A LA POBLACIÓN BENEFICIADA CON ENFOQUE DIFERENCIAL DE LAS ACTIVIDADES CONTRACTUALES DESARROLLADAS Y SU CARACTERIZACIÓN RESPECTIVA</t>
  </si>
  <si>
    <t>Tipo Documento(2)</t>
  </si>
  <si>
    <t>Diligencie el nombre y apellidos completos.</t>
  </si>
  <si>
    <t xml:space="preserve">Marque con una (X)  si la ubicación de residencia es en el área Urbana. </t>
  </si>
  <si>
    <t>Marque con una (X)  si la ubicación de residencia es en el área Rural.</t>
  </si>
  <si>
    <t>Dirección- Barrio /Vereda y nombre del predio (5)</t>
  </si>
  <si>
    <t xml:space="preserve">Registre la dirección de residencia y el nombre del Barrio, o para el área rural el nombre de la vereda y el predio y/o finca del beneficiario.
</t>
  </si>
  <si>
    <t>Municipio (6)</t>
  </si>
  <si>
    <t>Registre el teléfono y/o celular, correo electrónico de la persona natural para contactar.</t>
  </si>
  <si>
    <t>Teléfono/Celular / correo elec. (7)</t>
  </si>
  <si>
    <t>ENFOQUE DE GÉNERO (8)</t>
  </si>
  <si>
    <t xml:space="preserve">U
</t>
  </si>
  <si>
    <t xml:space="preserve">R
</t>
  </si>
  <si>
    <t>ENFOQUE ÉTNICO (9)</t>
  </si>
  <si>
    <t>Marque con una (X) si la persona natural se auto determina como Indígena, Comunidad de raza negra raizales ó como Pueblo Rrom o Gitano.</t>
  </si>
  <si>
    <t>PROBLEMÁTICA A ATENDER (10)</t>
  </si>
  <si>
    <t>Marque con una (X)  dentro de los sectores en lo que se presenta la problemática o acción a intervenir: 
- Institucional:  vulnerabilidad institucional si la persona reporta ausencia de la presencia del Estado donde vive la persona.
- Ambiental:  vulnerabilidad ambiental si la persona reporta afectación en las condiciones ambientales de donde vive la persona.
- Salud: vulnerabilidad institucional si la persona reporta imposibilidad de acceder a servicios de salud donde vive la persona.
-Cultural:  vulnerabilidad institucional si la persona reporta riesgos de perdida o desaparición de identidad cultural donde vive la persona.
-Educativa:  vulnerabilidad Educativa si la persona reporta imposibilidad de acceder a servicios de formación educativa formal donde vive la persona.</t>
  </si>
  <si>
    <t>ENFOQUE DIFERENCIAL/POBLACIONAL (11)</t>
  </si>
  <si>
    <t>Tamaño Grupo Familiar (13)</t>
  </si>
  <si>
    <t>Canal de Comunicación (14)</t>
  </si>
  <si>
    <t>EDAD (12)</t>
  </si>
  <si>
    <t>Registre la edad  del Ciudadano beneficiario.</t>
  </si>
  <si>
    <t>Registre la cantidad de personas que componen el núcleo familiar de la persona natural.</t>
  </si>
  <si>
    <t>CODIGO DEPARTAMENTO Y MUNICIPIO (16)</t>
  </si>
  <si>
    <t>Registre el Municipio  donde esta ubicada la persona beneficiada del bien o servicio</t>
  </si>
  <si>
    <t>BENEFICIO Y/O INTERES (17)</t>
  </si>
  <si>
    <t>CATEGORIA (17.1)</t>
  </si>
  <si>
    <t>BIEN Y/O SERVICIO (17.2)</t>
  </si>
  <si>
    <t>DESCRIPCION BENEFICIO Y/O INTERES (18)</t>
  </si>
  <si>
    <t>FECHA DEL BENEFICIO Y/O INTERES  (19)</t>
  </si>
  <si>
    <t>Registre la Descripción del Bien y servicio si requiere un mayor detalle.</t>
  </si>
  <si>
    <t xml:space="preserve">Registre la fecha en la que recibió el beneficio. </t>
  </si>
  <si>
    <t>GESTION/INVERSION (20)</t>
  </si>
  <si>
    <t>GRUPOS ETÁREOS (21)</t>
  </si>
  <si>
    <t>SECTOR (22.1)</t>
  </si>
  <si>
    <t>PROGRAMA (22.2)</t>
  </si>
  <si>
    <t>META PRODUCTO (22.3)</t>
  </si>
  <si>
    <t>PLAN DE DESARROLLO (22)</t>
  </si>
  <si>
    <t>Registre el sector del plan de desarrollo que impacte el Bien o servicio, o seleccione N/A</t>
  </si>
  <si>
    <t>Registre el Programa del plan de desarrollo que impacte el Biene o servicio, si no impacta seleccione N/A, escribalo igual a como se encuentra en el Plan de Desarrollo.</t>
  </si>
  <si>
    <t>Registre el la Meta Producto del plan de desarrollo que impacte el Biene o servicio, si no impacta seleccione N/A, escribalo igual a como se encuentre en el Plan de Desarrollo</t>
  </si>
  <si>
    <t>NOMBRE DEL PROYECTO DE INVERSION (23)</t>
  </si>
  <si>
    <t>Registre el nombre del Proyecto viabilizado en la Dirección de Banco de Programas y Proyectos.</t>
  </si>
  <si>
    <t>PILARES DE PAZ (24.3)</t>
  </si>
  <si>
    <t>ODS (24.1)</t>
  </si>
  <si>
    <t>DD.HH (24.2)</t>
  </si>
  <si>
    <t>EJECUCIÓN PLAN DLLO, CLASIFICADA POR ODS, DDHH PILARES DE PAZ (24)</t>
  </si>
  <si>
    <t>Registre a que Objetivo de Desarrollo Sostenible está atendiendo con el desarrollo de éste proyecto o contrato, en el cual se beneficia la persona registrada) o marque N/A</t>
  </si>
  <si>
    <t>Registre si con este bien o servicio entregada a la persona está garantizando un derecho humano, seleccione cual, o marque N/A (Declaración Universal de los Derechos Humanos)</t>
  </si>
  <si>
    <t>Registre si con el desarrollo de éste contrato se está atendiendo al cumplimiento de alguno de los 4 pilares del plan Paz Colombia o marque N/A.</t>
  </si>
  <si>
    <t>POLITICA PÚBLICA (25)</t>
  </si>
  <si>
    <t>POLITICA INSTITUCIONAL DE MIPG (26)</t>
  </si>
  <si>
    <t>TOTAL DE BENEFICIARIOS (27)</t>
  </si>
  <si>
    <t>Registre la cantidad total de beneficiarios del proyecto.</t>
  </si>
  <si>
    <t>ACTO ADMINISTRATIVO DE EJECUCION DEL PROYECTO (28)</t>
  </si>
  <si>
    <t>TIPO (28.1)</t>
  </si>
  <si>
    <t>NUMERO (28.2)</t>
  </si>
  <si>
    <t>Fecha (28.3)</t>
  </si>
  <si>
    <t>Registre fecha de suscripción del acto administrativo.</t>
  </si>
  <si>
    <t>Registre el Acto administrativo de Ejecución del Proyecto: 
CTO- Contrato
CV- Convenios
CA- Carta de aceptacion
RES-. Resolucion
Incorpore otras columnas de este componente si la ejecución se realizó a través de más de un contrato o convenio.</t>
  </si>
  <si>
    <t>xxxxxx</t>
  </si>
  <si>
    <t>Registre el nombre del Proyecto viabilizado en la Direccion de Banco de Proyectos, escriba el nombre completo del proyecto.</t>
  </si>
  <si>
    <t>Área Urbana / Rural 
(4)</t>
  </si>
  <si>
    <t>Tipo (2)</t>
  </si>
  <si>
    <t>Nombres y Apellidos (1)</t>
  </si>
  <si>
    <t>Número Documento de Identidad  (3)</t>
  </si>
  <si>
    <t xml:space="preserve">Urbana </t>
  </si>
  <si>
    <t xml:space="preserve">Rural 
</t>
  </si>
  <si>
    <t>Nota: La captura de la información se realizará  a través del registro de  datos solicitados en los items 01 al 15, que corresponde a  los ciudadanos beneficiarios de los bienes y/o servicios brindados por la Gobernación de Casanare.</t>
  </si>
  <si>
    <t>Lenguas, Idiomas o dialectos  (15)</t>
  </si>
  <si>
    <t>Nota: El registro de la información se realizará a partir de los items 16 al 28, que corresponde al seguimiento que realiza la persona responsable de los proyectos identificados en el formato FO-PDD-28, por las unidades ejecutoras de la Gobernación de Casanare.</t>
  </si>
  <si>
    <t>Seleccione el código del Municipio ejemplo: para Yopal 85001, donde esta ubicada la persona beneficiada del bien o servicio.</t>
  </si>
  <si>
    <t>De acuerdo a las categorias y bienes y/o servicios identificadas en la dependencia en el formato FO-PDD-28 Identificación de productos y servicios.</t>
  </si>
  <si>
    <t>Registre el Bien y/o servicio identificados en el formato FO-PDD-28</t>
  </si>
  <si>
    <t xml:space="preserve">Registre la categoria del Bien y/o servicio </t>
  </si>
  <si>
    <t xml:space="preserve">Nota: La hojas denomidas ACTIVIDAD y PROYECTO, corresponden a instrumentos que permiten consolidar  datos correspondientes a la población beneficiada con enfoque diferencial respecto de las actividades contractuales desarrolladas del proyecto de inversión que realiza la caracterización respectiva de acuerdo a la ejecución del Plan de Desarrollo Departamental.
Esta información es insumo para el reporte de informes de gestión, rendición de cuentas entre otros, ya que se obtienen los datos consolidados por población beneficiada directa por meta.
</t>
  </si>
  <si>
    <r>
      <t xml:space="preserve">El grupo etario se genera automáticamente mediante la formula de acuerdo a la edad registrada en el numeral 12. </t>
    </r>
    <r>
      <rPr>
        <i/>
        <sz val="9"/>
        <color theme="1"/>
        <rFont val="Arial"/>
        <family val="2"/>
      </rPr>
      <t xml:space="preserve">(Favor no diligenciar datos en esta columna, para no alterar la formula de cálculo de los grupos etarios).
</t>
    </r>
    <r>
      <rPr>
        <sz val="9"/>
        <color theme="1"/>
        <rFont val="Arial"/>
        <family val="2"/>
      </rPr>
      <t xml:space="preserve">
La clasificación en grupo etário según rango de edades: Primera infancia (De 0 a 5 años), Infancia (De 6 a 11), Adolescencia (De 12 a 17 años), Jóvenes (De 18 a 28 años) , Adultos ( 29 a 59 años) y Mayores (De 60 en adelante).</t>
    </r>
  </si>
  <si>
    <t>T.I</t>
  </si>
  <si>
    <t>C.C</t>
  </si>
  <si>
    <t>R.C</t>
  </si>
  <si>
    <t>C.E</t>
  </si>
  <si>
    <t>PASAPORTE</t>
  </si>
  <si>
    <t>OBJETIVOS DE DESARROLLO SOSTENIBLE</t>
  </si>
  <si>
    <t>DERECHOS HUMANOS</t>
  </si>
  <si>
    <t>PILARES DE PAZ</t>
  </si>
  <si>
    <t>POLITICAS PUBLICAS</t>
  </si>
  <si>
    <t>POLITICAS DE MIPG</t>
  </si>
  <si>
    <t>1. Fin de la pobreza.</t>
  </si>
  <si>
    <r>
      <t>1. Todos los seres humanos </t>
    </r>
    <r>
      <rPr>
        <b/>
        <sz val="10"/>
        <color rgb="FF3A343A"/>
        <rFont val="Arial"/>
        <family val="2"/>
      </rPr>
      <t>nacen libres e iguales</t>
    </r>
    <r>
      <rPr>
        <sz val="10"/>
        <color rgb="FF3A343A"/>
        <rFont val="Arial"/>
        <family val="2"/>
      </rPr>
      <t>.</t>
    </r>
  </si>
  <si>
    <t>1. Lucha contra el crimen organizado.</t>
  </si>
  <si>
    <t>PP. Discapacidad e inclusión social.</t>
  </si>
  <si>
    <t>Planeación Institucional</t>
  </si>
  <si>
    <t>2. Hambre cero</t>
  </si>
  <si>
    <r>
      <t>2. Todas las personas tienen los derechos </t>
    </r>
    <r>
      <rPr>
        <sz val="10"/>
        <color rgb="FF3A343A"/>
        <rFont val="Arial"/>
        <family val="2"/>
      </rPr>
      <t>proclamados en esta carta.</t>
    </r>
  </si>
  <si>
    <t>2. Apoyo al proceso de paz</t>
  </si>
  <si>
    <t>PP. Primera infancia, Infancia, Adolescencia.</t>
  </si>
  <si>
    <t>Gestión presupuestal y eficiencia del gasto público</t>
  </si>
  <si>
    <t>3. Salud y Bienestar</t>
  </si>
  <si>
    <r>
      <t>3. Todo individuo tiene derecho a la </t>
    </r>
    <r>
      <rPr>
        <b/>
        <sz val="10"/>
        <color rgb="FF3A343A"/>
        <rFont val="Arial"/>
        <family val="2"/>
      </rPr>
      <t>vida, la libertad y la seguridad</t>
    </r>
    <r>
      <rPr>
        <sz val="10"/>
        <color rgb="FF3A343A"/>
        <rFont val="Arial"/>
        <family val="2"/>
      </rPr>
      <t>.</t>
    </r>
  </si>
  <si>
    <t>3. Desarrollo Rural</t>
  </si>
  <si>
    <t>PP. De Juventud.</t>
  </si>
  <si>
    <t>Gestión del Talento Humano</t>
  </si>
  <si>
    <t>4. Educación de Calidad</t>
  </si>
  <si>
    <r>
      <t>4. Nadie será sometido </t>
    </r>
    <r>
      <rPr>
        <b/>
        <sz val="10"/>
        <color rgb="FF3A343A"/>
        <rFont val="Arial"/>
        <family val="2"/>
      </rPr>
      <t>a esclavitud ni a servidumbre</t>
    </r>
    <r>
      <rPr>
        <sz val="10"/>
        <color rgb="FF3A343A"/>
        <rFont val="Arial"/>
        <family val="2"/>
      </rPr>
      <t>.</t>
    </r>
  </si>
  <si>
    <t>4. Erradicación de minas antipersonas</t>
  </si>
  <si>
    <t>PP. Para la Gestión de la salud mental y la prevención del consumo de Drogas.</t>
  </si>
  <si>
    <t>Integridad</t>
  </si>
  <si>
    <t>5. Igualdad de Género</t>
  </si>
  <si>
    <r>
      <t>5. Nadie será sometido </t>
    </r>
    <r>
      <rPr>
        <b/>
        <sz val="10"/>
        <color rgb="FF3A343A"/>
        <rFont val="Arial"/>
        <family val="2"/>
      </rPr>
      <t>a penas, torturas ni tratos crueles o inhumanos</t>
    </r>
    <r>
      <rPr>
        <sz val="10"/>
        <color rgb="FF3A343A"/>
        <rFont val="Arial"/>
        <family val="2"/>
      </rPr>
      <t>.</t>
    </r>
  </si>
  <si>
    <t>N/A</t>
  </si>
  <si>
    <t>PP. NAL. De Equidad de Género</t>
  </si>
  <si>
    <t>Transparencia, acceso a la información pública y lucha contra la corrupción</t>
  </si>
  <si>
    <t>6. Agua limpia y saneamiento</t>
  </si>
  <si>
    <t>6. Todo ser humano tiene derecho al reconocimiento de su personalidad jurídica.</t>
  </si>
  <si>
    <t>PP. Equidad de género para las mujeres de Casanare.</t>
  </si>
  <si>
    <t>Fortalecimiento Organizacional y simplificación de procesos</t>
  </si>
  <si>
    <t>7. Energía asequible y no contaminante.</t>
  </si>
  <si>
    <r>
      <t>7. Todos tienen derecho a la </t>
    </r>
    <r>
      <rPr>
        <b/>
        <sz val="10"/>
        <color rgb="FF3A343A"/>
        <rFont val="Arial"/>
        <family val="2"/>
      </rPr>
      <t>protección contra la discriminación</t>
    </r>
    <r>
      <rPr>
        <sz val="10"/>
        <color rgb="FF3A343A"/>
        <rFont val="Arial"/>
        <family val="2"/>
      </rPr>
      <t>.</t>
    </r>
  </si>
  <si>
    <t>PP Envejecimiento y Vejez.</t>
  </si>
  <si>
    <t>Servicio al Ciudadano (solución a las necesidades de la comunidad)</t>
  </si>
  <si>
    <t>8. trabajo decente y crecimiento económico</t>
  </si>
  <si>
    <r>
      <t>8. Toda persona tiene derecho a un </t>
    </r>
    <r>
      <rPr>
        <b/>
        <sz val="10"/>
        <color rgb="FF3A343A"/>
        <rFont val="Arial"/>
        <family val="2"/>
      </rPr>
      <t>recurso efectivo ante los tribunales</t>
    </r>
    <r>
      <rPr>
        <sz val="10"/>
        <color rgb="FF3A343A"/>
        <rFont val="Arial"/>
        <family val="2"/>
      </rPr>
      <t>.</t>
    </r>
  </si>
  <si>
    <t>PP. Comunal</t>
  </si>
  <si>
    <t>Participación ciudadana en la Gestión Pública</t>
  </si>
  <si>
    <t>9. Industria, innovación e infraestructura.</t>
  </si>
  <si>
    <r>
      <t>9. Nadie podrá ser </t>
    </r>
    <r>
      <rPr>
        <b/>
        <sz val="10"/>
        <color rgb="FF3A343A"/>
        <rFont val="Arial"/>
        <family val="2"/>
      </rPr>
      <t>detenido, desterrado ni preso arbitrariamente</t>
    </r>
    <r>
      <rPr>
        <sz val="10"/>
        <color rgb="FF3A343A"/>
        <rFont val="Arial"/>
        <family val="2"/>
      </rPr>
      <t>.</t>
    </r>
  </si>
  <si>
    <t>PP. Libertad Religiosa, de Culto y Conciencia.</t>
  </si>
  <si>
    <t>Racionalización de trámites</t>
  </si>
  <si>
    <t>10. Reducción de las desigualdades.</t>
  </si>
  <si>
    <r>
      <t>10. Toda persona tiene derecho a un </t>
    </r>
    <r>
      <rPr>
        <b/>
        <sz val="10"/>
        <color rgb="FF3A343A"/>
        <rFont val="Arial"/>
        <family val="2"/>
      </rPr>
      <t>tribunal independiente e imparcial</t>
    </r>
    <r>
      <rPr>
        <sz val="10"/>
        <color rgb="FF3A343A"/>
        <rFont val="Arial"/>
        <family val="2"/>
      </rPr>
      <t>.</t>
    </r>
  </si>
  <si>
    <t>PP. NAL. De Víctimas del conflicto armado.</t>
  </si>
  <si>
    <t>Gestión Documental</t>
  </si>
  <si>
    <t>11. Ciudades y Comunidades sostenibles.</t>
  </si>
  <si>
    <r>
      <t>11. Toda persona tiene derecho a la </t>
    </r>
    <r>
      <rPr>
        <b/>
        <sz val="10"/>
        <color rgb="FF3A343A"/>
        <rFont val="Arial"/>
        <family val="2"/>
      </rPr>
      <t>presunción de inocencia y a penas justas</t>
    </r>
    <r>
      <rPr>
        <sz val="10"/>
        <color rgb="FF3A343A"/>
        <rFont val="Arial"/>
        <family val="2"/>
      </rPr>
      <t>.</t>
    </r>
  </si>
  <si>
    <t>PP. NAL. Garantía del goce efectivo de los Derechos de las personas LGTBI.</t>
  </si>
  <si>
    <t>Gobierno digital</t>
  </si>
  <si>
    <t>12. Producción y consumo responsables.</t>
  </si>
  <si>
    <r>
      <t>12. Toda persona tiene derecho a </t>
    </r>
    <r>
      <rPr>
        <b/>
        <sz val="10"/>
        <color rgb="FF3A343A"/>
        <rFont val="Arial"/>
        <family val="2"/>
      </rPr>
      <t>la privacidad, la honra y la reputación</t>
    </r>
    <r>
      <rPr>
        <sz val="10"/>
        <color rgb="FF3A343A"/>
        <rFont val="Arial"/>
        <family val="2"/>
      </rPr>
      <t>.</t>
    </r>
  </si>
  <si>
    <t>POL. NAL. De Reintegración social y económica para personas y grupos armados ilegales.</t>
  </si>
  <si>
    <t>Seguridad Digital</t>
  </si>
  <si>
    <t>13. Acción por el clima.</t>
  </si>
  <si>
    <r>
      <t>13. Toda persona tiene derecho a la </t>
    </r>
    <r>
      <rPr>
        <b/>
        <sz val="10"/>
        <color rgb="FF3A343A"/>
        <rFont val="Arial"/>
        <family val="2"/>
      </rPr>
      <t>libre circulación y a elegir libremente su residencia</t>
    </r>
    <r>
      <rPr>
        <sz val="10"/>
        <color rgb="FF3A343A"/>
        <rFont val="Arial"/>
        <family val="2"/>
      </rPr>
      <t>.</t>
    </r>
  </si>
  <si>
    <t>Gestión del Conocimiento y la Innovación</t>
  </si>
  <si>
    <t>14. Vida Submarina.</t>
  </si>
  <si>
    <r>
      <t>14. Toda persona tiene derecho al </t>
    </r>
    <r>
      <rPr>
        <b/>
        <sz val="10"/>
        <color rgb="FF3A343A"/>
        <rFont val="Arial"/>
        <family val="2"/>
      </rPr>
      <t>asilo en cualquier país</t>
    </r>
    <r>
      <rPr>
        <sz val="10"/>
        <color rgb="FF3A343A"/>
        <rFont val="Arial"/>
        <family val="2"/>
      </rPr>
      <t>.</t>
    </r>
  </si>
  <si>
    <t>Seguimiento y evaluación del desempeño institucional</t>
  </si>
  <si>
    <t>15. Vida de Ecosistemas terrestres.</t>
  </si>
  <si>
    <r>
      <t>15. Toda persona tiene derecho a una </t>
    </r>
    <r>
      <rPr>
        <b/>
        <sz val="10"/>
        <color rgb="FF3A343A"/>
        <rFont val="Arial"/>
        <family val="2"/>
      </rPr>
      <t>nacionalidad y a cambiar de nacionalidad</t>
    </r>
    <r>
      <rPr>
        <sz val="10"/>
        <color rgb="FF3A343A"/>
        <rFont val="Arial"/>
        <family val="2"/>
      </rPr>
      <t>.</t>
    </r>
  </si>
  <si>
    <t>Control Interno</t>
  </si>
  <si>
    <t>16. Paz, justicia e instituciones sólidas.</t>
  </si>
  <si>
    <r>
      <t>16. Todos los individuos tienen derecho a un </t>
    </r>
    <r>
      <rPr>
        <b/>
        <sz val="10"/>
        <color rgb="FF3A343A"/>
        <rFont val="Arial"/>
        <family val="2"/>
      </rPr>
      <t>matrimonio libre y a la protección de la familia</t>
    </r>
    <r>
      <rPr>
        <sz val="10"/>
        <color rgb="FF3A343A"/>
        <rFont val="Arial"/>
        <family val="2"/>
      </rPr>
      <t>.</t>
    </r>
  </si>
  <si>
    <t>Mejora normativa</t>
  </si>
  <si>
    <t>17. Alianzas para lograr los objetivos.</t>
  </si>
  <si>
    <r>
      <t>17. Toda persona tiene derecho a la </t>
    </r>
    <r>
      <rPr>
        <b/>
        <sz val="10"/>
        <color rgb="FF3A343A"/>
        <rFont val="Arial"/>
        <family val="2"/>
      </rPr>
      <t>propiedad individual o colectiva</t>
    </r>
    <r>
      <rPr>
        <sz val="10"/>
        <color rgb="FF3A343A"/>
        <rFont val="Arial"/>
        <family val="2"/>
      </rPr>
      <t>.</t>
    </r>
  </si>
  <si>
    <t>Gestión de la Información Estadística</t>
  </si>
  <si>
    <r>
      <t>18. Toda persona tiene derecho a la </t>
    </r>
    <r>
      <rPr>
        <b/>
        <sz val="10"/>
        <color rgb="FF3A343A"/>
        <rFont val="Arial"/>
        <family val="2"/>
      </rPr>
      <t>libertad de pensamiento, conciencia y religión</t>
    </r>
    <r>
      <rPr>
        <sz val="10"/>
        <color rgb="FF3A343A"/>
        <rFont val="Arial"/>
        <family val="2"/>
      </rPr>
      <t>.</t>
    </r>
  </si>
  <si>
    <t>Compras y contratación pública</t>
  </si>
  <si>
    <r>
      <t>19. Todo individuo tiene derecho a la </t>
    </r>
    <r>
      <rPr>
        <b/>
        <sz val="10"/>
        <color rgb="FF3A343A"/>
        <rFont val="Arial"/>
        <family val="2"/>
      </rPr>
      <t>libertad de opinión y de expresión</t>
    </r>
    <r>
      <rPr>
        <sz val="10"/>
        <color rgb="FF3A343A"/>
        <rFont val="Arial"/>
        <family val="2"/>
      </rPr>
      <t>.</t>
    </r>
  </si>
  <si>
    <t>Defensa Juridica</t>
  </si>
  <si>
    <r>
      <t>20. Toda persona tiene derecho a la </t>
    </r>
    <r>
      <rPr>
        <b/>
        <sz val="10"/>
        <color rgb="FF3A343A"/>
        <rFont val="Arial"/>
        <family val="2"/>
      </rPr>
      <t>libertad de reunión y asociación</t>
    </r>
    <r>
      <rPr>
        <sz val="10"/>
        <color rgb="FF3A343A"/>
        <rFont val="Arial"/>
        <family val="2"/>
      </rPr>
      <t>.</t>
    </r>
  </si>
  <si>
    <r>
      <t>21. Toda persona tiene derecho a participar, directa o indirectamente, </t>
    </r>
    <r>
      <rPr>
        <b/>
        <sz val="10"/>
        <color rgb="FF3A343A"/>
        <rFont val="Arial"/>
        <family val="2"/>
      </rPr>
      <t>en el gobierno de su país</t>
    </r>
    <r>
      <rPr>
        <sz val="10"/>
        <color rgb="FF3A343A"/>
        <rFont val="Arial"/>
        <family val="2"/>
      </rPr>
      <t>.</t>
    </r>
  </si>
  <si>
    <r>
      <t>22. Toda persona tiene derecho a la </t>
    </r>
    <r>
      <rPr>
        <b/>
        <sz val="10"/>
        <color rgb="FF3A343A"/>
        <rFont val="Arial"/>
        <family val="2"/>
      </rPr>
      <t>seguridad social</t>
    </r>
    <r>
      <rPr>
        <sz val="10"/>
        <color rgb="FF3A343A"/>
        <rFont val="Arial"/>
        <family val="2"/>
      </rPr>
      <t>.</t>
    </r>
  </si>
  <si>
    <r>
      <t>23. Toda persona tiene derecho al </t>
    </r>
    <r>
      <rPr>
        <b/>
        <sz val="10"/>
        <color rgb="FF3A343A"/>
        <rFont val="Arial"/>
        <family val="2"/>
      </rPr>
      <t>trabajo y la protección contra el desempleo</t>
    </r>
    <r>
      <rPr>
        <sz val="10"/>
        <color rgb="FF3A343A"/>
        <rFont val="Arial"/>
        <family val="2"/>
      </rPr>
      <t>.</t>
    </r>
  </si>
  <si>
    <r>
      <t>24. Toda persona tiene derecho al </t>
    </r>
    <r>
      <rPr>
        <b/>
        <sz val="10"/>
        <color rgb="FF3A343A"/>
        <rFont val="Arial"/>
        <family val="2"/>
      </rPr>
      <t>descanso y al disfrute del tiempo libre</t>
    </r>
    <r>
      <rPr>
        <sz val="10"/>
        <color rgb="FF3A343A"/>
        <rFont val="Arial"/>
        <family val="2"/>
      </rPr>
      <t>.</t>
    </r>
  </si>
  <si>
    <r>
      <t>25. Toda persona tiene derecho al bienestar</t>
    </r>
    <r>
      <rPr>
        <b/>
        <sz val="10"/>
        <color rgb="FF3A343A"/>
        <rFont val="Arial"/>
        <family val="2"/>
      </rPr>
      <t>: alimentación, vivienda, asistencia médica, vestido y otros servicios sociales básicos</t>
    </r>
    <r>
      <rPr>
        <sz val="10"/>
        <color rgb="FF3A343A"/>
        <rFont val="Arial"/>
        <family val="2"/>
      </rPr>
      <t>.</t>
    </r>
  </si>
  <si>
    <t>26. Toda persona tiene derecho a la educación y al libre desarrollo de la personalidad.</t>
  </si>
  <si>
    <r>
      <t>27. Toda persona tiene derecho a </t>
    </r>
    <r>
      <rPr>
        <b/>
        <sz val="10"/>
        <color rgb="FF3A343A"/>
        <rFont val="Arial"/>
        <family val="2"/>
      </rPr>
      <t>tomar parte en la vida cultural de su comunidad</t>
    </r>
    <r>
      <rPr>
        <sz val="10"/>
        <color rgb="FF3A343A"/>
        <rFont val="Arial"/>
        <family val="2"/>
      </rPr>
      <t>.</t>
    </r>
  </si>
  <si>
    <r>
      <t>28. Toda persona tiene derecho a </t>
    </r>
    <r>
      <rPr>
        <b/>
        <sz val="10"/>
        <color rgb="FF3A343A"/>
        <rFont val="Arial"/>
        <family val="2"/>
      </rPr>
      <t>un orden social</t>
    </r>
    <r>
      <rPr>
        <sz val="10"/>
        <color rgb="FF3A343A"/>
        <rFont val="Arial"/>
        <family val="2"/>
      </rPr>
      <t> que garantice los derechos de esta carta.</t>
    </r>
  </si>
  <si>
    <r>
      <t>29. Toda persona tiene </t>
    </r>
    <r>
      <rPr>
        <b/>
        <sz val="10"/>
        <color rgb="FF3A343A"/>
        <rFont val="Arial"/>
        <family val="2"/>
      </rPr>
      <t>deberes con respecto a su comunidad</t>
    </r>
    <r>
      <rPr>
        <sz val="10"/>
        <color rgb="FF3A343A"/>
        <rFont val="Arial"/>
        <family val="2"/>
      </rPr>
      <t>.</t>
    </r>
  </si>
  <si>
    <t>No aplica</t>
  </si>
  <si>
    <t>Pueblo Rom o Gitano</t>
  </si>
  <si>
    <t xml:space="preserve">Registre y/o seleccione de la lista deplegable el tipo de documento: CC: Cédula de Ciudadanía,TI: Tarjeta de Identidad, RC: Registro Civil, CE: Cédula de extranjería, Pasaporte. </t>
  </si>
  <si>
    <t xml:space="preserve">Marque con una (X)  si el Ciudadano beneficiario pertenece algún enfoque diferencial, cómo se describen a continuación: 
- Discapacidad: Seleccione vulnerabilidad por discapacidad si la persona reporta algún tipo de discapacidad.
- Cabeza de Hogar: Seleccione vulnerabilidad por cabeza de hogar si la persona reporta ejercer la jefatura del hogar y tiene bajo su cargo, afectiva, económica o socialmente, en forma permanente, hijos menores propios u otras personas incapaces o incapacitadas para trabajar, ya sea por ausencia permanente o incapacidad física, sensorial, síquica o moral del cónyuge o compañero permanente o deficiencia sustancial de ayuda de los demás miembros del núcleo familiar.
- Victimas de conflicto:Seleccione vulnerabilidad por ser victimas de conflicto si la persona reporta que individual o colectivamente hayan sufrido un daño por hechos ocurridos a partir del 1º de enero de 1985, como consecuencia de infracciones al Derecho Internacional Humanitario o de violaciones graves y manifiestas a las normas internacionales de Derechos Humanos, ocurridas con ocasión del conflicto armado interno.
- Habitante de la Calle: Seleccione vulnerabilidad por habitante de la calle si la persona reporta ese estado actual.
- Población Privada de la Libertad : Seleccione vulnerabilidad PPL si la persona reporta ese estado actual.
- Población en Proceso de  Reintegración: Seleccione vulnerabilidad Población en Proceso de  Reintegración si la persona reporta ese estado actual.
- Red Unidos: Seleccione vulnerabilidad al estar registrado en RED UNIDOS si la persona reporta ese estado actual.
</t>
  </si>
  <si>
    <t>SEGUIMIENTO CARACTERIZACION CIUDADANÍA</t>
  </si>
  <si>
    <r>
      <t xml:space="preserve">INSTRUCTIVO PARA EL DILEGENCIAMIENTO DEL FORMATO CARACTERIZACIÓN DE CIUDADANÍA
</t>
    </r>
    <r>
      <rPr>
        <sz val="9"/>
        <color theme="1"/>
        <rFont val="Arial"/>
        <family val="2"/>
      </rPr>
      <t xml:space="preserve">Caracterización de CIUDADANÍA: Caracterizar es identificar las particularidades (características, necesidades, intereses, expectativas y preferencias) de los ciudadanos, usuarios o interesados con los cuales interactúa una entidad, con el fin de agruparlos según atributos o variables similares y, a partir de allí, gestionar acciones.  </t>
    </r>
  </si>
  <si>
    <t>NB</t>
  </si>
  <si>
    <t xml:space="preserve">
Mujer Hombre
No Binario</t>
  </si>
  <si>
    <t>LGBTIQ+ OSIGD</t>
  </si>
  <si>
    <t>Marque con una (X)  si la persona natural es: F: Femenino, M: Masculino, NB: No Binario, o LGTBIQ+ ( L: Lesbianas, G: Gays, B: Bisexuales, T: Transexuales y Travestis,I:  Intersexuales, Q: Queer,  +: Colectivos no representados en las siglas ) Y LGBTIQ+ OSIGD</t>
  </si>
  <si>
    <t>La Gobernación de Casanare en cumplimiento de la Ley 1581 de 2012 , el Decreto reglamentario 1377 de 2013  referente a Protección de Datos Personales, los datos aquí consignados serán tratados mediante el uso y mantenimiento de seguridad técnicas, físicas y administrativas a fin de impedir que terceros no autorizados accedan a los mismos.
L: Lesbianas, G: Gays,B: Bisexuales,T: Transexuales,I:  Intersexuales, Q: Queer-+:  Colectivos no representados en las siglas,  PPL: Personas Privadas de la Libertad, -TD: Número de identificación Personas Privadas de la Libertad  PPR: Personas en Proceso de Reintegración Y LGBTIQ+ OSIGD</t>
  </si>
  <si>
    <r>
      <t xml:space="preserve">Nombres y Apellidos </t>
    </r>
    <r>
      <rPr>
        <sz val="8"/>
        <color rgb="FF00B050"/>
        <rFont val="Arial"/>
        <family val="2"/>
      </rPr>
      <t>y/o</t>
    </r>
    <r>
      <rPr>
        <sz val="8"/>
        <color rgb="FF00FF00"/>
        <rFont val="Arial"/>
        <family val="2"/>
      </rPr>
      <t xml:space="preserve"> </t>
    </r>
    <r>
      <rPr>
        <sz val="8"/>
        <color rgb="FF00B050"/>
        <rFont val="Arial"/>
        <family val="2"/>
      </rPr>
      <t>Nombre de la Entidad u Organización Social</t>
    </r>
    <r>
      <rPr>
        <sz val="8"/>
        <rFont val="Arial"/>
        <family val="2"/>
      </rPr>
      <t xml:space="preserve"> (1)</t>
    </r>
  </si>
  <si>
    <t>NIT</t>
  </si>
  <si>
    <r>
      <rPr>
        <sz val="8"/>
        <rFont val="Arial"/>
        <family val="2"/>
      </rPr>
      <t>Número Documento de Identidad</t>
    </r>
    <r>
      <rPr>
        <sz val="8"/>
        <color rgb="FF00B050"/>
        <rFont val="Arial"/>
        <family val="2"/>
      </rPr>
      <t xml:space="preserve"> y/o NIT (3)</t>
    </r>
  </si>
  <si>
    <t>Presidente</t>
  </si>
  <si>
    <t>Gerente</t>
  </si>
  <si>
    <t>SubGerente</t>
  </si>
  <si>
    <t>DEPARTAMENTO:</t>
  </si>
  <si>
    <t>AGUAZUL</t>
  </si>
  <si>
    <t>CHAMEZA</t>
  </si>
  <si>
    <t>HATO COROZAL</t>
  </si>
  <si>
    <t>LA SALINA</t>
  </si>
  <si>
    <t>MANI</t>
  </si>
  <si>
    <t>MONTERREY</t>
  </si>
  <si>
    <t>NUNCHIA</t>
  </si>
  <si>
    <t>OROCUE</t>
  </si>
  <si>
    <t>PAZ DE ARIPORO</t>
  </si>
  <si>
    <t>PORE</t>
  </si>
  <si>
    <t>RECETOR</t>
  </si>
  <si>
    <t>SABANALARGA</t>
  </si>
  <si>
    <t>SACAMA</t>
  </si>
  <si>
    <t>SAN LUIS DE PALENQUE</t>
  </si>
  <si>
    <t>TAMARA</t>
  </si>
  <si>
    <t>TAURAMENA</t>
  </si>
  <si>
    <t>TRINIDAD</t>
  </si>
  <si>
    <t>VILLANUEVA</t>
  </si>
  <si>
    <t>YOPAL</t>
  </si>
  <si>
    <t>Barrio</t>
  </si>
  <si>
    <t>Centro Poblado</t>
  </si>
  <si>
    <t>Comuna</t>
  </si>
  <si>
    <t>Corregimiento</t>
  </si>
  <si>
    <t>Inspección de Policía</t>
  </si>
  <si>
    <t>Localidad</t>
  </si>
  <si>
    <t>Vereda</t>
  </si>
  <si>
    <t>Finca</t>
  </si>
  <si>
    <t>Nombre del Predio</t>
  </si>
  <si>
    <t>Celular</t>
  </si>
  <si>
    <t>Radio</t>
  </si>
  <si>
    <t>Página Web</t>
  </si>
  <si>
    <t>Redes Sociales</t>
  </si>
  <si>
    <t>Juntas de Acción Comunal</t>
  </si>
  <si>
    <t>Registre el Idioma, la Lengua o el Dialecto que la persona natural hable diferente al español. (En caso de que aplique)</t>
  </si>
  <si>
    <t>IDIOMA</t>
  </si>
  <si>
    <t>Inglés</t>
  </si>
  <si>
    <t>Francés</t>
  </si>
  <si>
    <t>Aleman</t>
  </si>
  <si>
    <t>Portugués</t>
  </si>
  <si>
    <t>Italiano</t>
  </si>
  <si>
    <t>Mandarin</t>
  </si>
  <si>
    <t>Japonés</t>
  </si>
  <si>
    <t>LENGUA</t>
  </si>
  <si>
    <t>Lengua de Señas - LSC</t>
  </si>
  <si>
    <t>Achagua</t>
  </si>
  <si>
    <t>Amorua</t>
  </si>
  <si>
    <t>Wipiwi</t>
  </si>
  <si>
    <t>Yamalero</t>
  </si>
  <si>
    <t>Yaruro</t>
  </si>
  <si>
    <t>Andoke</t>
  </si>
  <si>
    <t xml:space="preserve">Iku </t>
  </si>
  <si>
    <t>Damana</t>
  </si>
  <si>
    <t>Bara</t>
  </si>
  <si>
    <t>Barasano</t>
  </si>
  <si>
    <t xml:space="preserve">Bari </t>
  </si>
  <si>
    <t>Betoye-guahibo</t>
  </si>
  <si>
    <t>Bora</t>
  </si>
  <si>
    <t>Cabiyari</t>
  </si>
  <si>
    <t>Carapana</t>
  </si>
  <si>
    <t>Karijona</t>
  </si>
  <si>
    <t>Ette taara</t>
  </si>
  <si>
    <t>Guahibo</t>
  </si>
  <si>
    <t>Cocama</t>
  </si>
  <si>
    <t>Korebaju</t>
  </si>
  <si>
    <t>Awapit</t>
  </si>
  <si>
    <t xml:space="preserve">Cubeo </t>
  </si>
  <si>
    <t>Wamonae</t>
  </si>
  <si>
    <t>Guna dule</t>
  </si>
  <si>
    <t>Curripaco</t>
  </si>
  <si>
    <t>Baniva</t>
  </si>
  <si>
    <t>Desano</t>
  </si>
  <si>
    <t>Embera</t>
  </si>
  <si>
    <t xml:space="preserve">Embera katio </t>
  </si>
  <si>
    <t xml:space="preserve">Embera chami </t>
  </si>
  <si>
    <t>Embera dovida</t>
  </si>
  <si>
    <t>Eperara siapidara</t>
  </si>
  <si>
    <t>Nambrik</t>
  </si>
  <si>
    <t>Wanano</t>
  </si>
  <si>
    <t>Jiw</t>
  </si>
  <si>
    <t xml:space="preserve">Inga (runa simi) </t>
  </si>
  <si>
    <t>Kamentsa</t>
  </si>
  <si>
    <t>Kofan</t>
  </si>
  <si>
    <t xml:space="preserve">Kogui </t>
  </si>
  <si>
    <t>Letuama</t>
  </si>
  <si>
    <t>Makaguaje</t>
  </si>
  <si>
    <t>Hitnu (macaguan)</t>
  </si>
  <si>
    <t>Makuna</t>
  </si>
  <si>
    <t>Nukak</t>
  </si>
  <si>
    <t>Kakua</t>
  </si>
  <si>
    <t>Hupdu</t>
  </si>
  <si>
    <t>Juhup</t>
  </si>
  <si>
    <t>Jupda</t>
  </si>
  <si>
    <t xml:space="preserve">Makú </t>
  </si>
  <si>
    <t>Masiguare</t>
  </si>
  <si>
    <t>Matapí</t>
  </si>
  <si>
    <t>Miraña</t>
  </si>
  <si>
    <t>Nonuya</t>
  </si>
  <si>
    <t>Ocaina</t>
  </si>
  <si>
    <t xml:space="preserve">Nasa yuwe </t>
  </si>
  <si>
    <t>Piapoco</t>
  </si>
  <si>
    <t>Piaroa</t>
  </si>
  <si>
    <t>Piratapuyo</t>
  </si>
  <si>
    <t>Pisamira</t>
  </si>
  <si>
    <t>Puinave</t>
  </si>
  <si>
    <t>Sáliba</t>
  </si>
  <si>
    <t>Sikuani</t>
  </si>
  <si>
    <t>Siona</t>
  </si>
  <si>
    <t xml:space="preserve">Siriano (Tubu) </t>
  </si>
  <si>
    <t xml:space="preserve">Taiwano (eduria) </t>
  </si>
  <si>
    <t xml:space="preserve">Tanimuka </t>
  </si>
  <si>
    <t>Tariano</t>
  </si>
  <si>
    <t xml:space="preserve">Tatuyo </t>
  </si>
  <si>
    <t>Tikuna</t>
  </si>
  <si>
    <t xml:space="preserve">Tsiripu (cuiba) </t>
  </si>
  <si>
    <t>Tukano</t>
  </si>
  <si>
    <t>U´wa (tunebo)</t>
  </si>
  <si>
    <t>Tuyuca</t>
  </si>
  <si>
    <t>Wounaan</t>
  </si>
  <si>
    <t xml:space="preserve">Wayunaiki </t>
  </si>
  <si>
    <t xml:space="preserve">Muruí (uitoto) </t>
  </si>
  <si>
    <t>Muinane</t>
  </si>
  <si>
    <t>Yagua</t>
  </si>
  <si>
    <t xml:space="preserve">Yauna </t>
  </si>
  <si>
    <t>Yukuna</t>
  </si>
  <si>
    <t>Yukpa</t>
  </si>
  <si>
    <t>Yuruti</t>
  </si>
  <si>
    <t>Kichwa</t>
  </si>
  <si>
    <t>Tinigua</t>
  </si>
  <si>
    <t>Yeral (ñengatu)</t>
  </si>
  <si>
    <t>DIALECTO</t>
  </si>
  <si>
    <t>Acento Llanero</t>
  </si>
  <si>
    <t>Acento bogotano o “Rolo”</t>
  </si>
  <si>
    <t>Acento Costeño</t>
  </si>
  <si>
    <t>Acento Cundiboyacense</t>
  </si>
  <si>
    <t>Acento Paisa</t>
  </si>
  <si>
    <t>Acento Vallecaucano</t>
  </si>
  <si>
    <t>Acento Pastuso</t>
  </si>
  <si>
    <t>Acento Santandereano</t>
  </si>
  <si>
    <t>Acento Opita</t>
  </si>
  <si>
    <t>Acento Chocoano</t>
  </si>
  <si>
    <t>Acento Isleño o Sanandresano</t>
  </si>
  <si>
    <t>Entidad Territorial</t>
  </si>
  <si>
    <t>Sector Educativo</t>
  </si>
  <si>
    <t>Sector Salud</t>
  </si>
  <si>
    <t>Sector Recreación y Deporte</t>
  </si>
  <si>
    <t>Sector Gobierno</t>
  </si>
  <si>
    <t>CON ÁNIMO DE LUCRO</t>
  </si>
  <si>
    <t>SIN ÁNIMO DE LUCRO</t>
  </si>
  <si>
    <t>Municipio (5)</t>
  </si>
  <si>
    <t>Número de Contacto (8)</t>
  </si>
  <si>
    <t>Socialización:
Otro:</t>
  </si>
  <si>
    <r>
      <t xml:space="preserve">Cargo (4)
</t>
    </r>
    <r>
      <rPr>
        <sz val="8"/>
        <color rgb="FFFF0000"/>
        <rFont val="Arial"/>
        <family val="2"/>
      </rPr>
      <t>Barrio /Vereda</t>
    </r>
  </si>
  <si>
    <t>Con Animo de Lucro</t>
  </si>
  <si>
    <t>Sin Animo de Lucro</t>
  </si>
  <si>
    <t>T</t>
  </si>
  <si>
    <t>ENFOQUE DE GÉNERO (9)</t>
  </si>
  <si>
    <t>ENFOQUE 
ÉTNICO (10)</t>
  </si>
  <si>
    <t>PROBLEMÁTICA A ATENDER (11)</t>
  </si>
  <si>
    <t>SECTOR De La ORGANIZACIÓN (12)</t>
  </si>
  <si>
    <t>CLASIFICACIÓN DE LA ORGANIZACIÓN (13)</t>
  </si>
  <si>
    <t>ENFOQUE DIFERENCIAL/POBLACIONAL (14)</t>
  </si>
  <si>
    <t>EDAD - grupo etário (15)</t>
  </si>
  <si>
    <t>Tamaño Grupo Familiar (16)</t>
  </si>
  <si>
    <t>Canal de Comunicación (17)</t>
  </si>
  <si>
    <t xml:space="preserve">Idiomas, Lenguas o dialectos  (18) </t>
  </si>
  <si>
    <t>FIRMA (19)</t>
  </si>
  <si>
    <t>CODIGO DEPARTAMENTO / MUNICIPIO (20)</t>
  </si>
  <si>
    <t>BENEFICIO Y/O INTERES (21)</t>
  </si>
  <si>
    <t>CATEGORIA (21.1)</t>
  </si>
  <si>
    <t>BIEN Y/O SERVICIO (21.2)</t>
  </si>
  <si>
    <t>DESCRIPCION BENEFICIO Y/O INTERES (22)</t>
  </si>
  <si>
    <t>FECHA DEL BENEFICIO Y/O INTERES (23)
(dd/mm/aa)</t>
  </si>
  <si>
    <t>GESTION/INVERSION (24)</t>
  </si>
  <si>
    <t>GRUPOS ETÁREOS (25)</t>
  </si>
  <si>
    <t>PLAN DE DESARROLLO DEPARTAMENTAL VIGENTE (26)</t>
  </si>
  <si>
    <t>SECTOR (26.1)</t>
  </si>
  <si>
    <t>PROGRAMA (26.2)</t>
  </si>
  <si>
    <t>META PRODUCTO (26.3)</t>
  </si>
  <si>
    <t>NOMBRE DEL PROYECTO DE INVERSION (27)</t>
  </si>
  <si>
    <t>EJECUCIÓN CLASIFICADA POR ODS, DDHH, PILARES DE PAZ (28)</t>
  </si>
  <si>
    <t>OBJETIVOS DE DESARROLLO SOSTENIBLE (28.1)</t>
  </si>
  <si>
    <t>DDHH (28.2)</t>
  </si>
  <si>
    <t>PILARES DE PAZ (28.3)</t>
  </si>
  <si>
    <t>POLITICA PÚBLICA A LA QUE APLICA (29)</t>
  </si>
  <si>
    <t>POLITICA INSTITUCIONAL DE MIPG  (30)</t>
  </si>
  <si>
    <t>TOTAL DE BENEFICIARIOS (31)</t>
  </si>
  <si>
    <t>ACTO ADMINISTRATIVO DE EJECUCION DEL PROYECTO (32)</t>
  </si>
  <si>
    <t>TIPO (32.1)</t>
  </si>
  <si>
    <t>NUMERO (32.2)</t>
  </si>
  <si>
    <t>Fecha (32.3)
(dd/mm/aa)</t>
  </si>
  <si>
    <t>ENFOQUE 
ÉTNICO</t>
  </si>
  <si>
    <t>SECTOR De La ORGANIZACIÓN</t>
  </si>
  <si>
    <t>CLASIFICACIÓN DE LA ORGANIZACIÓN</t>
  </si>
  <si>
    <r>
      <t xml:space="preserve">Ubicación (7)
</t>
    </r>
    <r>
      <rPr>
        <sz val="8"/>
        <color rgb="FFFF0000"/>
        <rFont val="Arial"/>
        <family val="2"/>
      </rPr>
      <t>Dirección/  nombre del predio</t>
    </r>
  </si>
  <si>
    <t>ENFOQUE DIFERENCIAL / POBLACIONAL</t>
  </si>
  <si>
    <t>QUIEN DIRIGE Y/O EXPONE:                                                                                             FIRMA:                               MUNICIPIO:</t>
  </si>
  <si>
    <r>
      <rPr>
        <sz val="8"/>
        <color theme="1"/>
        <rFont val="Arial"/>
        <family val="2"/>
      </rPr>
      <t xml:space="preserve">ZONA
</t>
    </r>
    <r>
      <rPr>
        <sz val="8"/>
        <color rgb="FFFF0000"/>
        <rFont val="Arial"/>
        <family val="2"/>
      </rPr>
      <t xml:space="preserve">Urbana / Rural (6)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</si>
</sst>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9"/>
      <color indexed="81"/>
      <name val="Tahoma"/>
      <family val="2"/>
    </font>
    <font>
      <sz val="10"/>
      <name val="Arial"/>
      <family val="2"/>
    </font>
    <font>
      <sz val="9"/>
      <name val="Arial"/>
      <family val="2"/>
    </font>
    <font>
      <sz val="10"/>
      <color theme="1"/>
      <name val="Calibri"/>
      <family val="2"/>
      <scheme val="minor"/>
    </font>
    <font>
      <sz val="10"/>
      <color theme="1"/>
      <name val="Arial"/>
      <family val="2"/>
    </font>
    <font>
      <b/>
      <sz val="10"/>
      <color theme="1"/>
      <name val="Arial"/>
      <family val="2"/>
    </font>
    <font>
      <sz val="10"/>
      <color rgb="FFFF0000"/>
      <name val="Arial"/>
      <family val="2"/>
    </font>
    <font>
      <sz val="11"/>
      <name val="Arial"/>
      <family val="2"/>
    </font>
    <font>
      <b/>
      <sz val="11"/>
      <name val="Arial"/>
      <family val="2"/>
    </font>
    <font>
      <sz val="11"/>
      <color theme="1"/>
      <name val="Calibri"/>
      <family val="2"/>
      <scheme val="minor"/>
    </font>
    <font>
      <b/>
      <sz val="10"/>
      <name val="Arial"/>
      <family val="2"/>
    </font>
    <font>
      <sz val="11"/>
      <color theme="1"/>
      <name val="Arial"/>
      <family val="2"/>
    </font>
    <font>
      <b/>
      <sz val="9"/>
      <color rgb="FF000000"/>
      <name val="Tahoma"/>
      <family val="2"/>
    </font>
    <font>
      <sz val="9"/>
      <color rgb="FF000000"/>
      <name val="Tahoma"/>
      <family val="2"/>
    </font>
    <font>
      <sz val="20"/>
      <color theme="1"/>
      <name val="Arial"/>
      <family val="2"/>
    </font>
    <font>
      <sz val="8"/>
      <name val="Arial"/>
      <family val="2"/>
    </font>
    <font>
      <sz val="8"/>
      <color theme="1"/>
      <name val="Arial"/>
      <family val="2"/>
    </font>
    <font>
      <sz val="8"/>
      <color rgb="FFFF0000"/>
      <name val="Arial"/>
      <family val="2"/>
    </font>
    <font>
      <sz val="9"/>
      <color theme="1"/>
      <name val="Arial"/>
      <family val="2"/>
    </font>
    <font>
      <b/>
      <sz val="9"/>
      <color theme="1"/>
      <name val="Arial"/>
      <family val="2"/>
    </font>
    <font>
      <i/>
      <sz val="9"/>
      <color theme="1"/>
      <name val="Arial"/>
      <family val="2"/>
    </font>
    <font>
      <sz val="7"/>
      <name val="Arial"/>
      <family val="2"/>
    </font>
    <font>
      <sz val="7"/>
      <name val="Calibri"/>
      <family val="2"/>
      <scheme val="minor"/>
    </font>
    <font>
      <u/>
      <sz val="11"/>
      <color theme="10"/>
      <name val="Calibri"/>
      <family val="2"/>
      <scheme val="minor"/>
    </font>
    <font>
      <sz val="10"/>
      <color rgb="FF3A343A"/>
      <name val="Arial"/>
      <family val="2"/>
    </font>
    <font>
      <b/>
      <sz val="10"/>
      <color rgb="FF3A343A"/>
      <name val="Arial"/>
      <family val="2"/>
    </font>
    <font>
      <u/>
      <sz val="10"/>
      <color theme="10"/>
      <name val="Arial"/>
      <family val="2"/>
    </font>
    <font>
      <b/>
      <sz val="9"/>
      <color indexed="81"/>
      <name val="Tahoma"/>
      <family val="2"/>
    </font>
    <font>
      <sz val="8"/>
      <color rgb="FF00B050"/>
      <name val="Arial"/>
      <family val="2"/>
    </font>
    <font>
      <sz val="8"/>
      <color rgb="FF00FF00"/>
      <name val="Arial"/>
      <family val="2"/>
    </font>
    <font>
      <sz val="7"/>
      <color rgb="FFFF0000"/>
      <name val="Calibri"/>
      <family val="2"/>
      <scheme val="minor"/>
    </font>
    <font>
      <sz val="5.5"/>
      <color rgb="FFFF0000"/>
      <name val="Arial"/>
      <family val="2"/>
    </font>
    <font>
      <sz val="6"/>
      <color rgb="FFFF0000"/>
      <name val="Arial"/>
      <family val="2"/>
    </font>
    <font>
      <b/>
      <sz val="8"/>
      <name val="Arial"/>
      <family val="2"/>
    </font>
    <font>
      <b/>
      <sz val="7"/>
      <name val="Arial"/>
      <family val="2"/>
    </font>
    <font>
      <b/>
      <sz val="7"/>
      <color rgb="FFFF0000"/>
      <name val="Arial"/>
      <family val="2"/>
    </font>
    <font>
      <b/>
      <sz val="6.5"/>
      <color rgb="FFFF0000"/>
      <name val="Arial"/>
      <family val="2"/>
    </font>
    <font>
      <b/>
      <sz val="5"/>
      <color rgb="FFFF0000"/>
      <name val="Arial"/>
      <family val="2"/>
    </font>
  </fonts>
  <fills count="7">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style="medium">
        <color theme="4"/>
      </left>
      <right/>
      <top style="medium">
        <color theme="4"/>
      </top>
      <bottom style="medium">
        <color theme="4"/>
      </bottom>
      <diagonal/>
    </border>
    <border>
      <left style="medium">
        <color theme="4"/>
      </left>
      <right/>
      <top style="medium">
        <color theme="4"/>
      </top>
      <bottom style="medium">
        <color rgb="FF548DD4"/>
      </bottom>
      <diagonal/>
    </border>
    <border>
      <left style="medium">
        <color rgb="FF548DD4"/>
      </left>
      <right/>
      <top style="medium">
        <color rgb="FF548DD4"/>
      </top>
      <bottom style="medium">
        <color rgb="FF548DD4"/>
      </bottom>
      <diagonal/>
    </border>
    <border>
      <left/>
      <right style="medium">
        <color theme="8"/>
      </right>
      <top style="medium">
        <color theme="8"/>
      </top>
      <bottom style="medium">
        <color theme="8"/>
      </bottom>
      <diagonal/>
    </border>
    <border>
      <left/>
      <right/>
      <top style="medium">
        <color theme="8"/>
      </top>
      <bottom style="medium">
        <color theme="8"/>
      </bottom>
      <diagonal/>
    </border>
    <border>
      <left style="medium">
        <color theme="8"/>
      </left>
      <right/>
      <top style="medium">
        <color theme="8"/>
      </top>
      <bottom style="medium">
        <color theme="8"/>
      </bottom>
      <diagonal/>
    </border>
    <border>
      <left/>
      <right style="medium">
        <color theme="8"/>
      </right>
      <top/>
      <bottom/>
      <diagonal/>
    </border>
    <border>
      <left/>
      <right style="double">
        <color rgb="FF548DD4"/>
      </right>
      <top style="double">
        <color rgb="FF548DD4"/>
      </top>
      <bottom style="double">
        <color rgb="FF548DD4"/>
      </bottom>
      <diagonal/>
    </border>
    <border>
      <left/>
      <right/>
      <top style="double">
        <color rgb="FF548DD4"/>
      </top>
      <bottom style="double">
        <color rgb="FF548DD4"/>
      </bottom>
      <diagonal/>
    </border>
    <border>
      <left style="double">
        <color rgb="FF548DD4"/>
      </left>
      <right/>
      <top style="double">
        <color rgb="FF548DD4"/>
      </top>
      <bottom style="double">
        <color rgb="FF548DD4"/>
      </bottom>
      <diagonal/>
    </border>
    <border>
      <left style="double">
        <color rgb="FF548DD4"/>
      </left>
      <right style="double">
        <color rgb="FF548DD4"/>
      </right>
      <top style="double">
        <color rgb="FF548DD4"/>
      </top>
      <bottom style="double">
        <color rgb="FF548DD4"/>
      </bottom>
      <diagonal/>
    </border>
    <border>
      <left/>
      <right style="double">
        <color rgb="FF548DD4"/>
      </right>
      <top/>
      <bottom/>
      <diagonal/>
    </border>
  </borders>
  <cellStyleXfs count="4">
    <xf numFmtId="0" fontId="0" fillId="0" borderId="0"/>
    <xf numFmtId="0" fontId="10" fillId="0" borderId="0"/>
    <xf numFmtId="0" fontId="12" fillId="0" borderId="0"/>
    <xf numFmtId="0" fontId="24" fillId="0" borderId="0" applyNumberFormat="0" applyFill="0" applyBorder="0" applyAlignment="0" applyProtection="0"/>
  </cellStyleXfs>
  <cellXfs count="185">
    <xf numFmtId="0" fontId="0" fillId="0" borderId="0" xfId="0"/>
    <xf numFmtId="0" fontId="5" fillId="0" borderId="0" xfId="0" applyFont="1"/>
    <xf numFmtId="0" fontId="4"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xf numFmtId="0" fontId="2" fillId="0" borderId="1" xfId="0" applyFont="1" applyBorder="1" applyAlignment="1">
      <alignment horizontal="justify" vertical="center"/>
    </xf>
    <xf numFmtId="0" fontId="5" fillId="0" borderId="1" xfId="0" applyFont="1" applyBorder="1"/>
    <xf numFmtId="0" fontId="5" fillId="0" borderId="9" xfId="0" applyFont="1" applyBorder="1"/>
    <xf numFmtId="0" fontId="5" fillId="0" borderId="10" xfId="0" applyFont="1" applyBorder="1"/>
    <xf numFmtId="0" fontId="5" fillId="0" borderId="11" xfId="0" applyFont="1" applyBorder="1" applyAlignment="1">
      <alignment vertical="center"/>
    </xf>
    <xf numFmtId="0" fontId="5" fillId="0" borderId="9" xfId="0" applyFont="1" applyBorder="1" applyAlignment="1">
      <alignment vertical="center"/>
    </xf>
    <xf numFmtId="0" fontId="6" fillId="0" borderId="11" xfId="0" applyFont="1" applyBorder="1" applyAlignment="1">
      <alignment horizontal="center" vertical="center"/>
    </xf>
    <xf numFmtId="0" fontId="6" fillId="0" borderId="9" xfId="0" applyFont="1" applyBorder="1" applyAlignment="1">
      <alignment horizontal="center" vertical="center"/>
    </xf>
    <xf numFmtId="0" fontId="5" fillId="0" borderId="11" xfId="0" applyFont="1" applyBorder="1"/>
    <xf numFmtId="0" fontId="5" fillId="0" borderId="1" xfId="0" applyFont="1" applyBorder="1" applyAlignment="1">
      <alignment vertical="center" wrapText="1"/>
    </xf>
    <xf numFmtId="0" fontId="5" fillId="0" borderId="12" xfId="0" applyFont="1" applyBorder="1"/>
    <xf numFmtId="0" fontId="5" fillId="0" borderId="0" xfId="2" applyFont="1"/>
    <xf numFmtId="0" fontId="6" fillId="0" borderId="0" xfId="2" applyFont="1" applyAlignment="1">
      <alignment horizontal="center" vertical="center" wrapText="1"/>
    </xf>
    <xf numFmtId="0" fontId="6" fillId="0" borderId="15" xfId="2" applyFont="1" applyBorder="1" applyAlignment="1">
      <alignment horizontal="center" vertical="center" wrapText="1"/>
    </xf>
    <xf numFmtId="0" fontId="5" fillId="0" borderId="1" xfId="2" applyFont="1" applyBorder="1" applyAlignment="1">
      <alignment vertical="center"/>
    </xf>
    <xf numFmtId="0" fontId="5" fillId="0" borderId="1" xfId="2" applyFont="1" applyBorder="1" applyAlignment="1">
      <alignment horizontal="left" vertical="center" wrapText="1"/>
    </xf>
    <xf numFmtId="0" fontId="5" fillId="0" borderId="1" xfId="2" applyFont="1" applyBorder="1" applyAlignment="1">
      <alignment horizontal="center" vertical="center" wrapText="1"/>
    </xf>
    <xf numFmtId="0" fontId="5" fillId="0" borderId="0" xfId="2" applyFont="1" applyAlignment="1">
      <alignment horizontal="center"/>
    </xf>
    <xf numFmtId="0" fontId="5" fillId="0" borderId="0" xfId="2" applyFont="1" applyAlignment="1">
      <alignment horizontal="center" vertical="center" wrapText="1"/>
    </xf>
    <xf numFmtId="0" fontId="5" fillId="0" borderId="1" xfId="2" applyFont="1" applyBorder="1" applyAlignment="1">
      <alignment vertical="center" wrapText="1"/>
    </xf>
    <xf numFmtId="0" fontId="6" fillId="0" borderId="1" xfId="2" applyFont="1" applyBorder="1" applyAlignment="1">
      <alignment horizontal="left" vertical="center" wrapText="1"/>
    </xf>
    <xf numFmtId="0" fontId="6" fillId="0" borderId="1" xfId="2"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top"/>
    </xf>
    <xf numFmtId="0" fontId="5" fillId="0" borderId="1" xfId="0" applyFont="1" applyBorder="1" applyAlignment="1">
      <alignment horizontal="justify" vertical="center"/>
    </xf>
    <xf numFmtId="0" fontId="5" fillId="0" borderId="1" xfId="0" applyFont="1" applyBorder="1" applyAlignment="1">
      <alignment horizontal="left" vertical="center"/>
    </xf>
    <xf numFmtId="0" fontId="6" fillId="0" borderId="1" xfId="2" applyFont="1" applyBorder="1" applyAlignment="1">
      <alignment vertical="center" wrapText="1"/>
    </xf>
    <xf numFmtId="0" fontId="6" fillId="0" borderId="0" xfId="2" applyFont="1"/>
    <xf numFmtId="0" fontId="5" fillId="0" borderId="1" xfId="2" applyFont="1" applyBorder="1" applyAlignment="1">
      <alignment horizontal="left" vertical="center"/>
    </xf>
    <xf numFmtId="0" fontId="6" fillId="0" borderId="0" xfId="2" applyFont="1" applyAlignment="1">
      <alignment horizontal="center" vertical="center"/>
    </xf>
    <xf numFmtId="0" fontId="5" fillId="0" borderId="0" xfId="2" applyFont="1" applyAlignment="1">
      <alignment horizontal="center" vertical="center"/>
    </xf>
    <xf numFmtId="0" fontId="6" fillId="0" borderId="1" xfId="2" applyFont="1" applyBorder="1" applyAlignment="1">
      <alignment vertical="center"/>
    </xf>
    <xf numFmtId="0" fontId="6" fillId="0" borderId="0" xfId="2" applyFont="1" applyAlignment="1">
      <alignment horizontal="right"/>
    </xf>
    <xf numFmtId="0" fontId="7" fillId="0" borderId="0" xfId="2" applyFont="1"/>
    <xf numFmtId="0" fontId="5" fillId="3" borderId="0" xfId="2" applyFont="1" applyFill="1"/>
    <xf numFmtId="0" fontId="2" fillId="0" borderId="0" xfId="2" applyFont="1" applyAlignment="1">
      <alignment horizontal="center"/>
    </xf>
    <xf numFmtId="0" fontId="11" fillId="0" borderId="2" xfId="2" applyFont="1" applyBorder="1" applyAlignment="1">
      <alignment horizontal="center" vertical="center"/>
    </xf>
    <xf numFmtId="0" fontId="3" fillId="0" borderId="1" xfId="0" applyFont="1" applyBorder="1" applyAlignment="1">
      <alignment horizontal="justify" vertical="center" wrapText="1"/>
    </xf>
    <xf numFmtId="0" fontId="16" fillId="2" borderId="1" xfId="0" applyFont="1" applyFill="1" applyBorder="1" applyAlignment="1">
      <alignment horizontal="center" vertical="center" wrapText="1"/>
    </xf>
    <xf numFmtId="0" fontId="20" fillId="2" borderId="1" xfId="0" applyFont="1" applyFill="1" applyBorder="1" applyAlignment="1">
      <alignment horizontal="center" vertical="center"/>
    </xf>
    <xf numFmtId="0" fontId="19" fillId="0" borderId="1" xfId="0" applyFont="1" applyBorder="1"/>
    <xf numFmtId="0" fontId="19" fillId="0" borderId="1" xfId="0" applyFont="1" applyBorder="1" applyAlignment="1">
      <alignment horizontal="left" vertical="center" wrapText="1"/>
    </xf>
    <xf numFmtId="0" fontId="19" fillId="0" borderId="1" xfId="0" applyFont="1" applyBorder="1" applyAlignment="1">
      <alignment vertical="center" wrapText="1"/>
    </xf>
    <xf numFmtId="0" fontId="19" fillId="2" borderId="1" xfId="0" applyFont="1" applyFill="1" applyBorder="1" applyAlignment="1">
      <alignment vertical="center" wrapText="1"/>
    </xf>
    <xf numFmtId="0" fontId="19" fillId="2" borderId="1" xfId="0" applyFont="1" applyFill="1" applyBorder="1" applyAlignment="1">
      <alignment horizontal="left" vertical="center" wrapText="1"/>
    </xf>
    <xf numFmtId="0" fontId="19" fillId="0" borderId="10" xfId="0" applyFont="1" applyBorder="1"/>
    <xf numFmtId="0" fontId="19" fillId="2" borderId="1" xfId="0" applyFont="1" applyFill="1" applyBorder="1"/>
    <xf numFmtId="0" fontId="22" fillId="2" borderId="1" xfId="0" applyFont="1" applyFill="1" applyBorder="1" applyAlignment="1">
      <alignment horizontal="center" vertical="center" wrapText="1"/>
    </xf>
    <xf numFmtId="0" fontId="8" fillId="0" borderId="0" xfId="0" applyFont="1" applyAlignment="1">
      <alignment vertical="center" wrapText="1"/>
    </xf>
    <xf numFmtId="0" fontId="6" fillId="6" borderId="0" xfId="0" applyFont="1" applyFill="1" applyAlignment="1">
      <alignment wrapText="1"/>
    </xf>
    <xf numFmtId="0" fontId="6" fillId="6" borderId="0" xfId="0" applyFont="1" applyFill="1"/>
    <xf numFmtId="0" fontId="11" fillId="6" borderId="0" xfId="0" applyFont="1" applyFill="1" applyAlignment="1">
      <alignment horizontal="center" vertical="center" wrapText="1"/>
    </xf>
    <xf numFmtId="0" fontId="5" fillId="6" borderId="0" xfId="0" applyFont="1" applyFill="1"/>
    <xf numFmtId="0" fontId="25" fillId="0" borderId="0" xfId="0" applyFont="1" applyAlignment="1">
      <alignment horizontal="justify" vertical="center" wrapText="1"/>
    </xf>
    <xf numFmtId="0" fontId="26" fillId="0" borderId="0" xfId="0" applyFont="1" applyAlignment="1">
      <alignment horizontal="justify" vertical="center" wrapText="1"/>
    </xf>
    <xf numFmtId="0" fontId="27" fillId="0" borderId="0" xfId="3" applyFont="1" applyAlignment="1">
      <alignment horizontal="justify" vertical="center" wrapText="1"/>
    </xf>
    <xf numFmtId="0" fontId="19" fillId="2" borderId="1" xfId="0" applyFont="1" applyFill="1" applyBorder="1" applyAlignment="1">
      <alignment horizontal="left" vertical="center"/>
    </xf>
    <xf numFmtId="0" fontId="19" fillId="0" borderId="1" xfId="0" applyFont="1" applyBorder="1" applyAlignment="1">
      <alignment horizontal="justify" vertical="center" wrapText="1"/>
    </xf>
    <xf numFmtId="0" fontId="4" fillId="0" borderId="0" xfId="0" applyFont="1" applyAlignment="1">
      <alignment horizontal="center"/>
    </xf>
    <xf numFmtId="0" fontId="2" fillId="0" borderId="0" xfId="0" applyFont="1" applyAlignment="1">
      <alignment horizontal="justify" vertical="center" wrapText="1"/>
    </xf>
    <xf numFmtId="0" fontId="5" fillId="0" borderId="0" xfId="0" applyFont="1" applyAlignment="1">
      <alignment vertical="center" wrapText="1"/>
    </xf>
    <xf numFmtId="0" fontId="5" fillId="0" borderId="0" xfId="0" applyFont="1" applyAlignment="1">
      <alignment horizontal="center"/>
    </xf>
    <xf numFmtId="0" fontId="27" fillId="0" borderId="0" xfId="3" applyFont="1" applyBorder="1" applyAlignment="1">
      <alignment horizontal="justify" vertical="center" wrapText="1"/>
    </xf>
    <xf numFmtId="0" fontId="5" fillId="0" borderId="0" xfId="0" applyFont="1" applyAlignment="1">
      <alignment horizontal="center" vertical="center"/>
    </xf>
    <xf numFmtId="0" fontId="6" fillId="0" borderId="0" xfId="0" applyFont="1" applyAlignment="1">
      <alignment horizontal="center"/>
    </xf>
    <xf numFmtId="0" fontId="9" fillId="0" borderId="5" xfId="0" applyFont="1" applyBorder="1"/>
    <xf numFmtId="0" fontId="9" fillId="0" borderId="1" xfId="0" applyFont="1" applyBorder="1"/>
    <xf numFmtId="0" fontId="8" fillId="0" borderId="1" xfId="0" applyFont="1" applyBorder="1"/>
    <xf numFmtId="0" fontId="8" fillId="0" borderId="1" xfId="0" applyFont="1" applyBorder="1" applyAlignment="1">
      <alignment vertical="center"/>
    </xf>
    <xf numFmtId="0" fontId="9" fillId="0" borderId="1" xfId="0" applyFont="1" applyBorder="1" applyAlignment="1">
      <alignment vertical="center"/>
    </xf>
    <xf numFmtId="0" fontId="9" fillId="0" borderId="3" xfId="0" applyFont="1" applyBorder="1" applyAlignment="1">
      <alignment vertical="center"/>
    </xf>
    <xf numFmtId="0" fontId="5" fillId="2" borderId="0" xfId="2" applyFont="1" applyFill="1" applyAlignment="1">
      <alignment horizontal="left" vertical="center"/>
    </xf>
    <xf numFmtId="0" fontId="5" fillId="0" borderId="0" xfId="0" applyFont="1" applyAlignment="1">
      <alignment horizontal="left" vertical="center"/>
    </xf>
    <xf numFmtId="0" fontId="6" fillId="2" borderId="0" xfId="2" applyFont="1" applyFill="1" applyAlignment="1">
      <alignment horizontal="left" vertical="center"/>
    </xf>
    <xf numFmtId="0" fontId="6" fillId="0" borderId="0" xfId="0" applyFont="1" applyAlignment="1">
      <alignment vertical="center"/>
    </xf>
    <xf numFmtId="0" fontId="5" fillId="0" borderId="0" xfId="0" applyFont="1" applyAlignment="1">
      <alignment vertical="center"/>
    </xf>
    <xf numFmtId="0" fontId="12" fillId="0" borderId="3" xfId="0" applyFont="1" applyBorder="1" applyAlignment="1">
      <alignment horizontal="center"/>
    </xf>
    <xf numFmtId="0" fontId="12" fillId="0" borderId="3" xfId="0" applyFont="1" applyBorder="1" applyAlignment="1">
      <alignment vertical="center"/>
    </xf>
    <xf numFmtId="0" fontId="12" fillId="0" borderId="3" xfId="0" applyFont="1" applyBorder="1" applyAlignment="1">
      <alignment vertical="center" wrapText="1"/>
    </xf>
    <xf numFmtId="0" fontId="9" fillId="0" borderId="5" xfId="0" applyFont="1" applyBorder="1" applyAlignment="1">
      <alignment horizontal="right"/>
    </xf>
    <xf numFmtId="0" fontId="20" fillId="2" borderId="1"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20" fillId="5" borderId="4"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9" fillId="0" borderId="6" xfId="0" applyFont="1" applyBorder="1" applyAlignment="1">
      <alignment horizontal="left" vertical="center" wrapText="1"/>
    </xf>
    <xf numFmtId="0" fontId="19" fillId="0" borderId="8" xfId="0" applyFont="1" applyBorder="1" applyAlignment="1">
      <alignment horizontal="left" vertical="center" wrapText="1"/>
    </xf>
    <xf numFmtId="0" fontId="19" fillId="0" borderId="7" xfId="0" applyFont="1" applyBorder="1" applyAlignment="1">
      <alignment horizontal="left" vertical="center" wrapText="1"/>
    </xf>
    <xf numFmtId="0" fontId="19" fillId="0" borderId="6" xfId="0" applyFont="1" applyBorder="1" applyAlignment="1">
      <alignment horizontal="left" vertical="center"/>
    </xf>
    <xf numFmtId="0" fontId="19" fillId="0" borderId="8" xfId="0" applyFont="1" applyBorder="1" applyAlignment="1">
      <alignment horizontal="left" vertical="center"/>
    </xf>
    <xf numFmtId="0" fontId="19" fillId="0" borderId="7" xfId="0" applyFont="1" applyBorder="1" applyAlignment="1">
      <alignment horizontal="left" vertical="center"/>
    </xf>
    <xf numFmtId="0" fontId="19" fillId="0" borderId="6" xfId="0" applyFont="1" applyBorder="1" applyAlignment="1">
      <alignment horizontal="left" wrapText="1"/>
    </xf>
    <xf numFmtId="0" fontId="19" fillId="0" borderId="8" xfId="0" applyFont="1" applyBorder="1" applyAlignment="1">
      <alignment horizontal="left" wrapText="1"/>
    </xf>
    <xf numFmtId="0" fontId="19" fillId="0" borderId="7" xfId="0" applyFont="1" applyBorder="1" applyAlignment="1">
      <alignment horizontal="left" wrapText="1"/>
    </xf>
    <xf numFmtId="0" fontId="19" fillId="5" borderId="1" xfId="0" applyFont="1" applyFill="1" applyBorder="1" applyAlignment="1">
      <alignment horizontal="left" vertical="center" wrapText="1"/>
    </xf>
    <xf numFmtId="0" fontId="9" fillId="0" borderId="5" xfId="0" applyFont="1" applyBorder="1" applyAlignment="1">
      <alignment horizont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2" fillId="2" borderId="3" xfId="0" applyFont="1" applyFill="1" applyBorder="1" applyAlignment="1">
      <alignment horizontal="center" vertical="center" wrapText="1"/>
    </xf>
    <xf numFmtId="0" fontId="22" fillId="2" borderId="5"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22" fillId="2" borderId="1" xfId="0" applyFont="1" applyFill="1" applyBorder="1" applyAlignment="1">
      <alignment horizontal="center" vertical="center" textRotation="90" wrapText="1"/>
    </xf>
    <xf numFmtId="0" fontId="8" fillId="0" borderId="3" xfId="0" applyFont="1" applyBorder="1" applyAlignment="1">
      <alignment horizontal="center"/>
    </xf>
    <xf numFmtId="0" fontId="8" fillId="0" borderId="5" xfId="0" applyFont="1" applyBorder="1" applyAlignment="1">
      <alignment horizontal="center"/>
    </xf>
    <xf numFmtId="0" fontId="8" fillId="0" borderId="4"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18" fillId="2" borderId="6" xfId="0" applyFont="1" applyFill="1" applyBorder="1" applyAlignment="1">
      <alignment horizontal="center" vertical="center" textRotation="90" wrapText="1"/>
    </xf>
    <xf numFmtId="0" fontId="18" fillId="2" borderId="8" xfId="0" applyFont="1" applyFill="1" applyBorder="1" applyAlignment="1">
      <alignment horizontal="center" vertical="center" textRotation="90" wrapText="1"/>
    </xf>
    <xf numFmtId="0" fontId="18" fillId="2" borderId="7" xfId="0" applyFont="1" applyFill="1" applyBorder="1" applyAlignment="1">
      <alignment horizontal="center" vertical="center" textRotation="90" wrapText="1"/>
    </xf>
    <xf numFmtId="0" fontId="16" fillId="2" borderId="1" xfId="0" applyFont="1" applyFill="1" applyBorder="1" applyAlignment="1">
      <alignment horizontal="center" vertical="center" textRotation="90" wrapText="1"/>
    </xf>
    <xf numFmtId="0" fontId="16" fillId="0" borderId="1" xfId="0" applyFont="1" applyBorder="1" applyAlignment="1">
      <alignment horizontal="center" vertical="center" textRotation="90" wrapText="1"/>
    </xf>
    <xf numFmtId="0" fontId="23" fillId="2" borderId="1" xfId="0" applyFont="1" applyFill="1" applyBorder="1" applyAlignment="1">
      <alignment horizontal="center" vertical="center" textRotation="90" wrapText="1"/>
    </xf>
    <xf numFmtId="0" fontId="22"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3" fillId="0" borderId="4" xfId="0" applyFont="1" applyBorder="1" applyAlignment="1">
      <alignment horizontal="left" vertical="top" wrapText="1"/>
    </xf>
    <xf numFmtId="0" fontId="15" fillId="0" borderId="1" xfId="0" applyFont="1" applyBorder="1" applyAlignment="1">
      <alignment horizontal="center" vertical="center"/>
    </xf>
    <xf numFmtId="0" fontId="19"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29" fillId="2" borderId="6" xfId="0" applyFont="1" applyFill="1" applyBorder="1" applyAlignment="1">
      <alignment horizontal="center" vertical="center" wrapText="1"/>
    </xf>
    <xf numFmtId="0" fontId="29" fillId="2" borderId="8" xfId="0" applyFont="1" applyFill="1" applyBorder="1" applyAlignment="1">
      <alignment horizontal="center" vertical="center" wrapText="1"/>
    </xf>
    <xf numFmtId="0" fontId="29" fillId="2" borderId="7" xfId="0" applyFont="1" applyFill="1" applyBorder="1" applyAlignment="1">
      <alignment horizontal="center" vertical="center" wrapText="1"/>
    </xf>
    <xf numFmtId="0" fontId="17" fillId="0" borderId="1" xfId="0" applyFont="1" applyBorder="1" applyAlignment="1">
      <alignment horizontal="center" vertical="center" textRotation="90" wrapText="1"/>
    </xf>
    <xf numFmtId="0" fontId="31" fillId="2" borderId="1" xfId="0" applyFont="1" applyFill="1" applyBorder="1" applyAlignment="1">
      <alignment horizontal="center" vertical="center" textRotation="90" wrapText="1"/>
    </xf>
    <xf numFmtId="0" fontId="29"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7" fillId="2" borderId="6" xfId="0" applyFont="1" applyFill="1" applyBorder="1" applyAlignment="1">
      <alignment horizontal="center" vertical="center"/>
    </xf>
    <xf numFmtId="0" fontId="17" fillId="2" borderId="8" xfId="0" applyFont="1" applyFill="1" applyBorder="1" applyAlignment="1">
      <alignment horizontal="center" vertical="center"/>
    </xf>
    <xf numFmtId="0" fontId="17" fillId="2" borderId="7" xfId="0" applyFont="1" applyFill="1" applyBorder="1" applyAlignment="1">
      <alignment horizontal="center" vertical="center"/>
    </xf>
    <xf numFmtId="0" fontId="6" fillId="2" borderId="0" xfId="2" applyFont="1" applyFill="1" applyAlignment="1">
      <alignment horizontal="center" vertical="center" wrapText="1"/>
    </xf>
    <xf numFmtId="0" fontId="11" fillId="2" borderId="1" xfId="2" applyFont="1" applyFill="1" applyBorder="1" applyAlignment="1">
      <alignment horizontal="center" vertical="center" wrapText="1"/>
    </xf>
    <xf numFmtId="0" fontId="11" fillId="2" borderId="1" xfId="2" applyFont="1" applyFill="1" applyBorder="1" applyAlignment="1">
      <alignment horizontal="left" vertical="center" wrapText="1"/>
    </xf>
    <xf numFmtId="0" fontId="11" fillId="2" borderId="13" xfId="2" applyFont="1" applyFill="1" applyBorder="1" applyAlignment="1">
      <alignment horizontal="center" vertical="center" wrapText="1"/>
    </xf>
    <xf numFmtId="0" fontId="11" fillId="2" borderId="14" xfId="2" applyFont="1" applyFill="1" applyBorder="1" applyAlignment="1">
      <alignment horizontal="center" vertical="center" wrapText="1"/>
    </xf>
    <xf numFmtId="0" fontId="6" fillId="0" borderId="0" xfId="2" applyFont="1" applyAlignment="1">
      <alignment horizontal="right" vertical="center" wrapText="1"/>
    </xf>
    <xf numFmtId="0" fontId="6" fillId="0" borderId="0" xfId="2" applyFont="1" applyAlignment="1">
      <alignment horizontal="right"/>
    </xf>
    <xf numFmtId="0" fontId="6" fillId="0" borderId="1" xfId="2" applyFont="1" applyBorder="1" applyAlignment="1">
      <alignment horizontal="center" vertical="center" wrapText="1"/>
    </xf>
    <xf numFmtId="0" fontId="5" fillId="0" borderId="1" xfId="2" applyFont="1" applyBorder="1" applyAlignment="1">
      <alignment horizontal="center" vertical="center" wrapText="1"/>
    </xf>
    <xf numFmtId="0" fontId="6" fillId="0" borderId="1" xfId="2" applyFont="1" applyBorder="1" applyAlignment="1">
      <alignment horizontal="right" vertical="center" wrapText="1"/>
    </xf>
    <xf numFmtId="0" fontId="6" fillId="0" borderId="0" xfId="2" applyFont="1" applyAlignment="1">
      <alignment horizontal="center" vertical="center"/>
    </xf>
    <xf numFmtId="0" fontId="6" fillId="0" borderId="24" xfId="2" applyFont="1" applyBorder="1" applyAlignment="1">
      <alignment horizontal="center" vertical="center"/>
    </xf>
    <xf numFmtId="0" fontId="5" fillId="0" borderId="18" xfId="2" applyFont="1" applyBorder="1" applyAlignment="1">
      <alignment horizontal="center" vertical="center" wrapText="1"/>
    </xf>
    <xf numFmtId="0" fontId="5" fillId="0" borderId="17" xfId="2" applyFont="1" applyBorder="1" applyAlignment="1">
      <alignment horizontal="center" vertical="center" wrapText="1"/>
    </xf>
    <xf numFmtId="0" fontId="5" fillId="0" borderId="16" xfId="2" applyFont="1" applyBorder="1" applyAlignment="1">
      <alignment horizontal="center" vertical="center" wrapText="1"/>
    </xf>
    <xf numFmtId="0" fontId="6" fillId="0" borderId="0" xfId="2" applyFont="1" applyAlignment="1">
      <alignment horizontal="center" wrapText="1"/>
    </xf>
    <xf numFmtId="0" fontId="6" fillId="0" borderId="19" xfId="2" applyFont="1" applyBorder="1" applyAlignment="1">
      <alignment horizontal="center" wrapText="1"/>
    </xf>
    <xf numFmtId="0" fontId="6" fillId="0" borderId="23" xfId="2" applyFont="1" applyBorder="1" applyAlignment="1">
      <alignment horizontal="center" vertical="center" wrapText="1"/>
    </xf>
    <xf numFmtId="0" fontId="6" fillId="0" borderId="22" xfId="2" applyFont="1" applyBorder="1" applyAlignment="1">
      <alignment horizontal="center" vertical="center" wrapText="1"/>
    </xf>
    <xf numFmtId="0" fontId="6" fillId="0" borderId="21" xfId="2" applyFont="1" applyBorder="1" applyAlignment="1">
      <alignment horizontal="center" vertical="center" wrapText="1"/>
    </xf>
    <xf numFmtId="0" fontId="6" fillId="0" borderId="20" xfId="2" applyFont="1" applyBorder="1" applyAlignment="1">
      <alignment horizontal="center" vertical="center" wrapText="1"/>
    </xf>
    <xf numFmtId="0" fontId="33" fillId="0" borderId="1" xfId="0" applyFont="1" applyBorder="1" applyAlignment="1">
      <alignment horizontal="center" vertical="center" textRotation="90" wrapText="1"/>
    </xf>
    <xf numFmtId="0" fontId="34" fillId="2" borderId="1" xfId="2" applyFont="1" applyFill="1" applyBorder="1" applyAlignment="1">
      <alignment horizontal="center" vertical="center" wrapText="1"/>
    </xf>
    <xf numFmtId="0" fontId="7" fillId="0" borderId="2" xfId="2" applyFont="1" applyBorder="1" applyAlignment="1">
      <alignment horizontal="center" vertical="center" wrapText="1"/>
    </xf>
    <xf numFmtId="0" fontId="7" fillId="0" borderId="0" xfId="2" applyFont="1" applyBorder="1" applyAlignment="1">
      <alignment horizontal="center" vertical="center" wrapText="1"/>
    </xf>
    <xf numFmtId="0" fontId="6" fillId="2" borderId="2" xfId="2" applyFont="1" applyFill="1" applyBorder="1" applyAlignment="1">
      <alignment horizontal="center" vertical="center" wrapText="1"/>
    </xf>
    <xf numFmtId="0" fontId="6" fillId="2" borderId="0" xfId="2" applyFont="1" applyFill="1" applyBorder="1" applyAlignment="1">
      <alignment horizontal="center" vertical="center" wrapText="1"/>
    </xf>
    <xf numFmtId="0" fontId="35" fillId="2" borderId="3" xfId="2" applyFont="1" applyFill="1" applyBorder="1" applyAlignment="1">
      <alignment horizontal="center" vertical="center"/>
    </xf>
    <xf numFmtId="0" fontId="35" fillId="2" borderId="5" xfId="2" applyFont="1" applyFill="1" applyBorder="1" applyAlignment="1">
      <alignment horizontal="center" vertical="center"/>
    </xf>
    <xf numFmtId="0" fontId="35" fillId="2" borderId="4" xfId="2" applyFont="1" applyFill="1" applyBorder="1" applyAlignment="1">
      <alignment horizontal="center" vertical="center"/>
    </xf>
    <xf numFmtId="0" fontId="35" fillId="2" borderId="1" xfId="2" applyFont="1" applyFill="1" applyBorder="1" applyAlignment="1">
      <alignment horizontal="center" vertical="center" wrapText="1"/>
    </xf>
    <xf numFmtId="0" fontId="35" fillId="2" borderId="1" xfId="2" applyFont="1" applyFill="1" applyBorder="1" applyAlignment="1">
      <alignment horizontal="center" vertical="center"/>
    </xf>
    <xf numFmtId="0" fontId="22" fillId="2" borderId="1" xfId="2" applyFont="1" applyFill="1" applyBorder="1" applyAlignment="1">
      <alignment horizontal="center" vertical="center" textRotation="90" wrapText="1"/>
    </xf>
    <xf numFmtId="0" fontId="22" fillId="2" borderId="1" xfId="2" applyFont="1" applyFill="1" applyBorder="1" applyAlignment="1">
      <alignment horizontal="center" vertical="center" wrapText="1"/>
    </xf>
    <xf numFmtId="0" fontId="35" fillId="2" borderId="1" xfId="0" applyFont="1" applyFill="1" applyBorder="1" applyAlignment="1">
      <alignment horizontal="center" vertical="center" wrapText="1"/>
    </xf>
    <xf numFmtId="0" fontId="35" fillId="2" borderId="1" xfId="0" applyFont="1" applyFill="1" applyBorder="1" applyAlignment="1">
      <alignment horizontal="center" vertical="center"/>
    </xf>
    <xf numFmtId="0" fontId="36" fillId="0" borderId="1" xfId="0" applyFont="1" applyBorder="1" applyAlignment="1">
      <alignment horizontal="center" vertical="center" textRotation="90" wrapText="1"/>
    </xf>
    <xf numFmtId="0" fontId="36" fillId="2" borderId="1" xfId="0" applyFont="1" applyFill="1" applyBorder="1" applyAlignment="1">
      <alignment horizontal="center" vertical="center" wrapText="1"/>
    </xf>
    <xf numFmtId="0" fontId="37" fillId="0" borderId="1" xfId="0" applyFont="1" applyBorder="1" applyAlignment="1">
      <alignment horizontal="center" vertical="center" textRotation="90" wrapText="1"/>
    </xf>
    <xf numFmtId="0" fontId="38" fillId="2" borderId="1" xfId="0" applyFont="1" applyFill="1" applyBorder="1" applyAlignment="1">
      <alignment horizontal="center" vertical="center" wrapText="1"/>
    </xf>
    <xf numFmtId="0" fontId="35" fillId="2" borderId="3" xfId="0" applyFont="1" applyFill="1" applyBorder="1" applyAlignment="1">
      <alignment horizontal="center" vertical="center" wrapText="1"/>
    </xf>
    <xf numFmtId="0" fontId="35" fillId="2" borderId="5"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35" fillId="2" borderId="3" xfId="0" applyFont="1" applyFill="1" applyBorder="1" applyAlignment="1">
      <alignment horizontal="center" wrapText="1"/>
    </xf>
    <xf numFmtId="0" fontId="35" fillId="2" borderId="5" xfId="0" applyFont="1" applyFill="1" applyBorder="1" applyAlignment="1">
      <alignment horizontal="center" wrapText="1"/>
    </xf>
    <xf numFmtId="0" fontId="35" fillId="2" borderId="4" xfId="0" applyFont="1" applyFill="1" applyBorder="1" applyAlignment="1">
      <alignment horizontal="center" wrapText="1"/>
    </xf>
    <xf numFmtId="0" fontId="6" fillId="0" borderId="1" xfId="2" applyFont="1" applyBorder="1" applyAlignment="1">
      <alignment horizontal="center" vertical="center"/>
    </xf>
  </cellXfs>
  <cellStyles count="4">
    <cellStyle name="Hipervínculo" xfId="3" builtinId="8"/>
    <cellStyle name="Normal" xfId="0" builtinId="0"/>
    <cellStyle name="Normal 2" xfId="2" xr:uid="{00000000-0005-0000-0000-000002000000}"/>
    <cellStyle name="Normal 4" xfId="1" xr:uid="{00000000-0005-0000-0000-000003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User\Desktop\INFORMES%202019\informe%207-2019\FO-PDD-31_CIUDADANOS_ADULTO%20MAY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sheetName val="tabla 6 CIUDADANOS MUJER FAMILI"/>
      <sheetName val="ACTIVIDAD "/>
      <sheetName val="PROYECTO"/>
      <sheetName val="Hoja1"/>
    </sheetNames>
    <sheetDataSet>
      <sheetData sheetId="0" refreshError="1"/>
      <sheetData sheetId="1" refreshError="1"/>
      <sheetData sheetId="2" refreshError="1">
        <row r="30">
          <cell r="B30" t="str">
            <v>Realizar la retroalimentación de La estrategia “EMPODERANDO ANDO” dirigida a cuidadores, agentes sociales, familias y adultos mayores con el fin de promover los cuidados al adulto mayor, prácticas de buen trato, deberes, derechos y en el marco de la Política Pública de envejecimiento y vejez 2018-2028 para el Departamento de Casanare, principalmente Eje Estratégico 1. Protección y garantía de los derechos humanos para el adulto mayor e implementarla a mínimo tres (3) familias por Municipio las cuales mínimo uno (1) de sus miembros sea adulto mayor, en los 9 municipios del Departamento; El  documento de la Estrategia debe ser actualizado conforme a la retroalimentación  realizada y debe contener como mínimo: Justificación; Estrategia; Metodología detallada;</v>
          </cell>
          <cell r="C30" t="str">
            <v>Maní</v>
          </cell>
        </row>
        <row r="31">
          <cell r="C31" t="str">
            <v>Maní</v>
          </cell>
        </row>
        <row r="32">
          <cell r="C32" t="str">
            <v>Maní</v>
          </cell>
        </row>
        <row r="33">
          <cell r="C33" t="str">
            <v>Maní</v>
          </cell>
        </row>
        <row r="65">
          <cell r="C65" t="str">
            <v>Sabanalarga</v>
          </cell>
        </row>
        <row r="66">
          <cell r="C66" t="str">
            <v>Sabanalarga</v>
          </cell>
        </row>
        <row r="67">
          <cell r="C67" t="str">
            <v>Sabanalarga</v>
          </cell>
        </row>
        <row r="68">
          <cell r="C68" t="str">
            <v>Sabanalarga</v>
          </cell>
        </row>
        <row r="95">
          <cell r="C95" t="str">
            <v xml:space="preserve">Villanueva </v>
          </cell>
        </row>
        <row r="96">
          <cell r="C96" t="str">
            <v xml:space="preserve">Villanueva </v>
          </cell>
        </row>
        <row r="97">
          <cell r="C97" t="str">
            <v xml:space="preserve">Villanueva </v>
          </cell>
        </row>
        <row r="98">
          <cell r="C98" t="str">
            <v xml:space="preserve">Villanueva </v>
          </cell>
        </row>
      </sheetData>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acnur.org/es/mas-de-la-mitad-de-los-refugiados-del-mundo-son-ninos?utm_source=Inbound&amp;utm_medium=Referral-CPC-GEN&amp;utm_campaign=ES_ES_Post_Prospecting_MitadRefugiadosMundoSonNinos&amp;utm_content=Corporativo-Organico-General&amp;tc_alt=45664&amp;n_o_pst=n_o_pst" TargetMode="External"/><Relationship Id="rId1" Type="http://schemas.openxmlformats.org/officeDocument/2006/relationships/hyperlink" Target="https://eacnur.org/blog/apatridas-y-sin-derechos-morales-y-fundamentales/?tc_alt=45664&amp;n_o_pst=n_o_pst" TargetMode="External"/><Relationship Id="rId6" Type="http://schemas.openxmlformats.org/officeDocument/2006/relationships/comments" Target="../comments1.xml"/><Relationship Id="rId5" Type="http://schemas.openxmlformats.org/officeDocument/2006/relationships/vmlDrawing" Target="../drawings/vmlDrawing2.v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89"/>
  <sheetViews>
    <sheetView topLeftCell="A11" zoomScale="84" zoomScaleNormal="84" workbookViewId="0">
      <selection activeCell="B12" sqref="B12"/>
    </sheetView>
  </sheetViews>
  <sheetFormatPr baseColWidth="10" defaultColWidth="11.453125" defaultRowHeight="12.5" x14ac:dyDescent="0.25"/>
  <cols>
    <col min="1" max="1" width="4.453125" style="7" customWidth="1"/>
    <col min="2" max="2" width="32.453125" style="7" customWidth="1"/>
    <col min="3" max="3" width="82.453125" style="7" customWidth="1"/>
    <col min="4" max="4" width="58" style="7" customWidth="1"/>
    <col min="5" max="16384" width="11.453125" style="7"/>
  </cols>
  <sheetData>
    <row r="1" spans="1:3" x14ac:dyDescent="0.25">
      <c r="B1" s="8"/>
      <c r="C1" s="8"/>
    </row>
    <row r="2" spans="1:3" s="10" customFormat="1" ht="60.75" customHeight="1" x14ac:dyDescent="0.35">
      <c r="A2" s="9"/>
      <c r="B2" s="85" t="s">
        <v>296</v>
      </c>
      <c r="C2" s="85"/>
    </row>
    <row r="3" spans="1:3" s="10" customFormat="1" ht="35.25" customHeight="1" x14ac:dyDescent="0.35">
      <c r="A3" s="9"/>
      <c r="B3" s="86" t="s">
        <v>190</v>
      </c>
      <c r="C3" s="87"/>
    </row>
    <row r="4" spans="1:3" s="12" customFormat="1" ht="20.25" customHeight="1" x14ac:dyDescent="0.35">
      <c r="A4" s="11"/>
      <c r="B4" s="44" t="s">
        <v>43</v>
      </c>
      <c r="C4" s="44" t="s">
        <v>44</v>
      </c>
    </row>
    <row r="5" spans="1:3" s="12" customFormat="1" ht="20.25" customHeight="1" x14ac:dyDescent="0.35">
      <c r="A5" s="11"/>
      <c r="B5" s="44"/>
      <c r="C5" s="61" t="s">
        <v>45</v>
      </c>
    </row>
    <row r="6" spans="1:3" ht="14.25" customHeight="1" x14ac:dyDescent="0.25">
      <c r="A6" s="13"/>
      <c r="B6" s="45" t="s">
        <v>186</v>
      </c>
      <c r="C6" s="46" t="s">
        <v>124</v>
      </c>
    </row>
    <row r="7" spans="1:3" ht="25.5" customHeight="1" x14ac:dyDescent="0.25">
      <c r="A7" s="13"/>
      <c r="B7" s="47" t="s">
        <v>185</v>
      </c>
      <c r="C7" s="46" t="s">
        <v>293</v>
      </c>
    </row>
    <row r="8" spans="1:3" x14ac:dyDescent="0.25">
      <c r="A8" s="13"/>
      <c r="B8" s="47" t="s">
        <v>187</v>
      </c>
      <c r="C8" s="46" t="s">
        <v>46</v>
      </c>
    </row>
    <row r="9" spans="1:3" ht="23" x14ac:dyDescent="0.25">
      <c r="A9" s="13"/>
      <c r="B9" s="48" t="s">
        <v>184</v>
      </c>
      <c r="C9" s="49" t="s">
        <v>47</v>
      </c>
    </row>
    <row r="10" spans="1:3" x14ac:dyDescent="0.25">
      <c r="A10" s="13"/>
      <c r="B10" s="45" t="s">
        <v>188</v>
      </c>
      <c r="C10" s="47" t="s">
        <v>125</v>
      </c>
    </row>
    <row r="11" spans="1:3" ht="23" x14ac:dyDescent="0.25">
      <c r="A11" s="13"/>
      <c r="B11" s="47" t="s">
        <v>189</v>
      </c>
      <c r="C11" s="49" t="s">
        <v>126</v>
      </c>
    </row>
    <row r="12" spans="1:3" ht="47.25" customHeight="1" x14ac:dyDescent="0.25">
      <c r="A12" s="13"/>
      <c r="B12" s="47" t="s">
        <v>127</v>
      </c>
      <c r="C12" s="49" t="s">
        <v>128</v>
      </c>
    </row>
    <row r="13" spans="1:3" x14ac:dyDescent="0.25">
      <c r="A13" s="13"/>
      <c r="B13" s="47" t="s">
        <v>129</v>
      </c>
      <c r="C13" s="49" t="s">
        <v>146</v>
      </c>
    </row>
    <row r="14" spans="1:3" ht="31.5" customHeight="1" x14ac:dyDescent="0.25">
      <c r="A14" s="13"/>
      <c r="B14" s="47" t="s">
        <v>131</v>
      </c>
      <c r="C14" s="49" t="s">
        <v>130</v>
      </c>
    </row>
    <row r="15" spans="1:3" ht="34.5" x14ac:dyDescent="0.25">
      <c r="A15" s="13"/>
      <c r="B15" s="47" t="s">
        <v>132</v>
      </c>
      <c r="C15" s="46" t="s">
        <v>300</v>
      </c>
    </row>
    <row r="16" spans="1:3" ht="23" x14ac:dyDescent="0.25">
      <c r="A16" s="13"/>
      <c r="B16" s="47" t="s">
        <v>135</v>
      </c>
      <c r="C16" s="46" t="s">
        <v>136</v>
      </c>
    </row>
    <row r="17" spans="1:3" ht="177" customHeight="1" x14ac:dyDescent="0.25">
      <c r="A17" s="13"/>
      <c r="B17" s="47" t="s">
        <v>137</v>
      </c>
      <c r="C17" s="62" t="s">
        <v>138</v>
      </c>
    </row>
    <row r="18" spans="1:3" ht="275.25" customHeight="1" x14ac:dyDescent="0.25">
      <c r="A18" s="13"/>
      <c r="B18" s="47" t="s">
        <v>139</v>
      </c>
      <c r="C18" s="46" t="s">
        <v>294</v>
      </c>
    </row>
    <row r="19" spans="1:3" x14ac:dyDescent="0.25">
      <c r="A19" s="13"/>
      <c r="B19" s="47" t="s">
        <v>142</v>
      </c>
      <c r="C19" s="46" t="s">
        <v>143</v>
      </c>
    </row>
    <row r="20" spans="1:3" x14ac:dyDescent="0.25">
      <c r="A20" s="13"/>
      <c r="B20" s="47" t="s">
        <v>140</v>
      </c>
      <c r="C20" s="46" t="s">
        <v>144</v>
      </c>
    </row>
    <row r="21" spans="1:3" ht="76.5" customHeight="1" x14ac:dyDescent="0.25">
      <c r="A21" s="13"/>
      <c r="B21" s="47" t="s">
        <v>141</v>
      </c>
      <c r="C21" s="46" t="s">
        <v>48</v>
      </c>
    </row>
    <row r="22" spans="1:3" ht="23" x14ac:dyDescent="0.25">
      <c r="A22" s="13"/>
      <c r="B22" s="47" t="s">
        <v>191</v>
      </c>
      <c r="C22" s="46" t="s">
        <v>342</v>
      </c>
    </row>
    <row r="23" spans="1:3" ht="33" customHeight="1" x14ac:dyDescent="0.25">
      <c r="A23" s="13"/>
      <c r="B23" s="86" t="s">
        <v>192</v>
      </c>
      <c r="C23" s="88"/>
    </row>
    <row r="24" spans="1:3" ht="23" x14ac:dyDescent="0.25">
      <c r="A24" s="13"/>
      <c r="B24" s="47" t="s">
        <v>145</v>
      </c>
      <c r="C24" s="46" t="s">
        <v>193</v>
      </c>
    </row>
    <row r="25" spans="1:3" ht="23" x14ac:dyDescent="0.25">
      <c r="A25" s="13"/>
      <c r="B25" s="47" t="s">
        <v>147</v>
      </c>
      <c r="C25" s="46" t="s">
        <v>194</v>
      </c>
    </row>
    <row r="26" spans="1:3" ht="26.25" customHeight="1" x14ac:dyDescent="0.25">
      <c r="A26" s="13"/>
      <c r="B26" s="47" t="s">
        <v>148</v>
      </c>
      <c r="C26" s="46" t="s">
        <v>196</v>
      </c>
    </row>
    <row r="27" spans="1:3" ht="24.75" customHeight="1" x14ac:dyDescent="0.25">
      <c r="A27" s="13"/>
      <c r="B27" s="47" t="s">
        <v>149</v>
      </c>
      <c r="C27" s="46" t="s">
        <v>195</v>
      </c>
    </row>
    <row r="28" spans="1:3" ht="24" customHeight="1" x14ac:dyDescent="0.25">
      <c r="A28" s="13"/>
      <c r="B28" s="47" t="s">
        <v>150</v>
      </c>
      <c r="C28" s="46" t="s">
        <v>152</v>
      </c>
    </row>
    <row r="29" spans="1:3" ht="23" x14ac:dyDescent="0.25">
      <c r="A29" s="13"/>
      <c r="B29" s="47" t="s">
        <v>151</v>
      </c>
      <c r="C29" s="46" t="s">
        <v>153</v>
      </c>
    </row>
    <row r="30" spans="1:3" ht="23" x14ac:dyDescent="0.25">
      <c r="A30" s="13"/>
      <c r="B30" s="47" t="s">
        <v>154</v>
      </c>
      <c r="C30" s="46" t="s">
        <v>49</v>
      </c>
    </row>
    <row r="31" spans="1:3" ht="69.5" x14ac:dyDescent="0.25">
      <c r="A31" s="13"/>
      <c r="B31" s="47" t="s">
        <v>155</v>
      </c>
      <c r="C31" s="46" t="s">
        <v>198</v>
      </c>
    </row>
    <row r="32" spans="1:3" x14ac:dyDescent="0.25">
      <c r="A32" s="13"/>
      <c r="B32" s="47" t="s">
        <v>159</v>
      </c>
      <c r="C32" s="46" t="s">
        <v>160</v>
      </c>
    </row>
    <row r="33" spans="1:3" ht="23" x14ac:dyDescent="0.25">
      <c r="A33" s="13"/>
      <c r="B33" s="47" t="s">
        <v>156</v>
      </c>
      <c r="C33" s="46" t="s">
        <v>161</v>
      </c>
    </row>
    <row r="34" spans="1:3" ht="23" x14ac:dyDescent="0.25">
      <c r="A34" s="13"/>
      <c r="B34" s="47" t="s">
        <v>157</v>
      </c>
      <c r="C34" s="46" t="s">
        <v>162</v>
      </c>
    </row>
    <row r="35" spans="1:3" ht="23" x14ac:dyDescent="0.25">
      <c r="A35" s="13"/>
      <c r="B35" s="47" t="s">
        <v>158</v>
      </c>
      <c r="C35" s="46" t="s">
        <v>183</v>
      </c>
    </row>
    <row r="36" spans="1:3" ht="23" x14ac:dyDescent="0.25">
      <c r="A36" s="13"/>
      <c r="B36" s="47" t="s">
        <v>163</v>
      </c>
      <c r="C36" s="46" t="s">
        <v>164</v>
      </c>
    </row>
    <row r="37" spans="1:3" ht="23" x14ac:dyDescent="0.25">
      <c r="A37" s="13"/>
      <c r="B37" s="47" t="s">
        <v>168</v>
      </c>
      <c r="C37" s="46" t="s">
        <v>50</v>
      </c>
    </row>
    <row r="38" spans="1:3" ht="23" x14ac:dyDescent="0.25">
      <c r="A38" s="13"/>
      <c r="B38" s="47" t="s">
        <v>166</v>
      </c>
      <c r="C38" s="46" t="s">
        <v>169</v>
      </c>
    </row>
    <row r="39" spans="1:3" ht="23" x14ac:dyDescent="0.25">
      <c r="A39" s="13"/>
      <c r="B39" s="47" t="s">
        <v>167</v>
      </c>
      <c r="C39" s="46" t="s">
        <v>170</v>
      </c>
    </row>
    <row r="40" spans="1:3" ht="23" x14ac:dyDescent="0.25">
      <c r="A40" s="13"/>
      <c r="B40" s="47" t="s">
        <v>165</v>
      </c>
      <c r="C40" s="46" t="s">
        <v>171</v>
      </c>
    </row>
    <row r="41" spans="1:3" ht="23" x14ac:dyDescent="0.25">
      <c r="A41" s="13"/>
      <c r="B41" s="47" t="s">
        <v>172</v>
      </c>
      <c r="C41" s="46" t="s">
        <v>51</v>
      </c>
    </row>
    <row r="42" spans="1:3" ht="23" x14ac:dyDescent="0.25">
      <c r="A42" s="13"/>
      <c r="B42" s="47" t="s">
        <v>173</v>
      </c>
      <c r="C42" s="46" t="s">
        <v>52</v>
      </c>
    </row>
    <row r="43" spans="1:3" x14ac:dyDescent="0.25">
      <c r="A43" s="13"/>
      <c r="B43" s="47" t="s">
        <v>174</v>
      </c>
      <c r="C43" s="46" t="s">
        <v>175</v>
      </c>
    </row>
    <row r="44" spans="1:3" ht="25.5" customHeight="1" x14ac:dyDescent="0.25">
      <c r="A44" s="13"/>
      <c r="B44" s="47" t="s">
        <v>176</v>
      </c>
      <c r="C44" s="46"/>
    </row>
    <row r="45" spans="1:3" ht="80.5" x14ac:dyDescent="0.25">
      <c r="A45" s="13"/>
      <c r="B45" s="47" t="s">
        <v>177</v>
      </c>
      <c r="C45" s="46" t="s">
        <v>181</v>
      </c>
    </row>
    <row r="46" spans="1:3" ht="32.25" customHeight="1" x14ac:dyDescent="0.25">
      <c r="A46" s="13"/>
      <c r="B46" s="47" t="s">
        <v>178</v>
      </c>
      <c r="C46" s="46" t="s">
        <v>53</v>
      </c>
    </row>
    <row r="47" spans="1:3" ht="30.75" customHeight="1" x14ac:dyDescent="0.25">
      <c r="A47" s="13"/>
      <c r="B47" s="47" t="s">
        <v>179</v>
      </c>
      <c r="C47" s="46" t="s">
        <v>180</v>
      </c>
    </row>
    <row r="48" spans="1:3" x14ac:dyDescent="0.25">
      <c r="A48" s="13"/>
      <c r="B48" s="50"/>
      <c r="C48" s="50"/>
    </row>
    <row r="49" spans="1:3" ht="96.75" customHeight="1" x14ac:dyDescent="0.25">
      <c r="A49" s="13"/>
      <c r="B49" s="98" t="s">
        <v>197</v>
      </c>
      <c r="C49" s="98"/>
    </row>
    <row r="50" spans="1:3" x14ac:dyDescent="0.25">
      <c r="A50" s="13"/>
      <c r="B50" s="92" t="s">
        <v>54</v>
      </c>
      <c r="C50" s="51" t="s">
        <v>55</v>
      </c>
    </row>
    <row r="51" spans="1:3" ht="25.5" customHeight="1" x14ac:dyDescent="0.25">
      <c r="A51" s="13"/>
      <c r="B51" s="93"/>
      <c r="C51" s="95" t="s">
        <v>56</v>
      </c>
    </row>
    <row r="52" spans="1:3" x14ac:dyDescent="0.25">
      <c r="A52" s="13"/>
      <c r="B52" s="93"/>
      <c r="C52" s="96"/>
    </row>
    <row r="53" spans="1:3" x14ac:dyDescent="0.25">
      <c r="A53" s="13"/>
      <c r="B53" s="94"/>
      <c r="C53" s="97"/>
    </row>
    <row r="54" spans="1:3" x14ac:dyDescent="0.25">
      <c r="A54" s="13"/>
      <c r="B54" s="45"/>
      <c r="C54" s="45"/>
    </row>
    <row r="55" spans="1:3" x14ac:dyDescent="0.25">
      <c r="A55" s="13"/>
      <c r="B55" s="92" t="s">
        <v>57</v>
      </c>
      <c r="C55" s="51" t="s">
        <v>58</v>
      </c>
    </row>
    <row r="56" spans="1:3" ht="38.25" customHeight="1" x14ac:dyDescent="0.25">
      <c r="A56" s="13"/>
      <c r="B56" s="93"/>
      <c r="C56" s="89" t="s">
        <v>59</v>
      </c>
    </row>
    <row r="57" spans="1:3" x14ac:dyDescent="0.25">
      <c r="A57" s="13"/>
      <c r="B57" s="93"/>
      <c r="C57" s="90"/>
    </row>
    <row r="58" spans="1:3" x14ac:dyDescent="0.25">
      <c r="A58" s="13"/>
      <c r="B58" s="93"/>
      <c r="C58" s="90"/>
    </row>
    <row r="59" spans="1:3" x14ac:dyDescent="0.25">
      <c r="A59" s="13"/>
      <c r="B59" s="93"/>
      <c r="C59" s="90"/>
    </row>
    <row r="60" spans="1:3" x14ac:dyDescent="0.25">
      <c r="A60" s="13"/>
      <c r="B60" s="93"/>
      <c r="C60" s="90"/>
    </row>
    <row r="61" spans="1:3" x14ac:dyDescent="0.25">
      <c r="A61" s="13"/>
      <c r="B61" s="93"/>
      <c r="C61" s="90"/>
    </row>
    <row r="62" spans="1:3" x14ac:dyDescent="0.25">
      <c r="A62" s="13"/>
      <c r="B62" s="94"/>
      <c r="C62" s="91"/>
    </row>
    <row r="63" spans="1:3" x14ac:dyDescent="0.25">
      <c r="A63" s="13"/>
    </row>
    <row r="64" spans="1:3" x14ac:dyDescent="0.25">
      <c r="A64" s="13"/>
    </row>
    <row r="65" spans="1:1" x14ac:dyDescent="0.25">
      <c r="A65" s="13"/>
    </row>
    <row r="66" spans="1:1" x14ac:dyDescent="0.25">
      <c r="A66" s="13"/>
    </row>
    <row r="67" spans="1:1" x14ac:dyDescent="0.25">
      <c r="A67" s="13"/>
    </row>
    <row r="68" spans="1:1" x14ac:dyDescent="0.25">
      <c r="A68" s="13"/>
    </row>
    <row r="69" spans="1:1" x14ac:dyDescent="0.25">
      <c r="A69" s="13"/>
    </row>
    <row r="70" spans="1:1" x14ac:dyDescent="0.25">
      <c r="A70" s="13"/>
    </row>
    <row r="71" spans="1:1" x14ac:dyDescent="0.25">
      <c r="A71" s="13"/>
    </row>
    <row r="72" spans="1:1" x14ac:dyDescent="0.25">
      <c r="A72" s="13"/>
    </row>
    <row r="73" spans="1:1" x14ac:dyDescent="0.25">
      <c r="A73" s="13"/>
    </row>
    <row r="76" spans="1:1" x14ac:dyDescent="0.25">
      <c r="A76" s="13"/>
    </row>
    <row r="77" spans="1:1" ht="17.25" customHeight="1" x14ac:dyDescent="0.25">
      <c r="A77" s="13"/>
    </row>
    <row r="78" spans="1:1" ht="18.75" customHeight="1" x14ac:dyDescent="0.25">
      <c r="A78" s="13"/>
    </row>
    <row r="79" spans="1:1" ht="19.5" customHeight="1" x14ac:dyDescent="0.25">
      <c r="A79" s="13"/>
    </row>
    <row r="80" spans="1:1" x14ac:dyDescent="0.25">
      <c r="A80" s="13"/>
    </row>
    <row r="81" spans="1:3" x14ac:dyDescent="0.25">
      <c r="A81" s="13"/>
    </row>
    <row r="82" spans="1:3" ht="15.75" customHeight="1" x14ac:dyDescent="0.25">
      <c r="A82" s="13"/>
    </row>
    <row r="83" spans="1:3" ht="15.75" customHeight="1" x14ac:dyDescent="0.25">
      <c r="A83" s="13"/>
    </row>
    <row r="84" spans="1:3" ht="15.75" customHeight="1" x14ac:dyDescent="0.25">
      <c r="A84" s="13"/>
    </row>
    <row r="85" spans="1:3" ht="15.75" customHeight="1" x14ac:dyDescent="0.25">
      <c r="A85" s="13"/>
    </row>
    <row r="86" spans="1:3" ht="15.75" customHeight="1" x14ac:dyDescent="0.25">
      <c r="A86" s="13"/>
    </row>
    <row r="87" spans="1:3" ht="15.75" customHeight="1" x14ac:dyDescent="0.25">
      <c r="A87" s="13"/>
    </row>
    <row r="88" spans="1:3" ht="27" customHeight="1" x14ac:dyDescent="0.25">
      <c r="A88" s="13"/>
    </row>
    <row r="89" spans="1:3" x14ac:dyDescent="0.25">
      <c r="B89" s="15"/>
      <c r="C89" s="15"/>
    </row>
  </sheetData>
  <mergeCells count="8">
    <mergeCell ref="B2:C2"/>
    <mergeCell ref="B3:C3"/>
    <mergeCell ref="B23:C23"/>
    <mergeCell ref="C56:C62"/>
    <mergeCell ref="B55:B62"/>
    <mergeCell ref="C51:C53"/>
    <mergeCell ref="B50:B53"/>
    <mergeCell ref="B49:C49"/>
  </mergeCells>
  <pageMargins left="0.7" right="0.7" top="0.75" bottom="0.75" header="0.3" footer="0.3"/>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F600"/>
  <sheetViews>
    <sheetView tabSelected="1" view="pageBreakPreview" zoomScale="80" zoomScaleNormal="80" zoomScaleSheetLayoutView="80" zoomScalePageLayoutView="124" workbookViewId="0">
      <selection activeCell="B5" sqref="B5:B7"/>
    </sheetView>
  </sheetViews>
  <sheetFormatPr baseColWidth="10" defaultColWidth="8" defaultRowHeight="12.5" x14ac:dyDescent="0.25"/>
  <cols>
    <col min="1" max="1" width="4.08984375" style="66" bestFit="1" customWidth="1"/>
    <col min="2" max="2" width="33.54296875" style="66" customWidth="1"/>
    <col min="3" max="3" width="6.36328125" style="66" customWidth="1"/>
    <col min="4" max="4" width="13.54296875" style="66" bestFit="1" customWidth="1"/>
    <col min="5" max="5" width="15" style="66" customWidth="1"/>
    <col min="6" max="6" width="16.90625" style="66" customWidth="1"/>
    <col min="7" max="7" width="2.453125" style="66" customWidth="1"/>
    <col min="8" max="8" width="3.36328125" style="66" customWidth="1"/>
    <col min="9" max="9" width="8.1796875" style="66" customWidth="1"/>
    <col min="10" max="10" width="15.54296875" style="66" customWidth="1"/>
    <col min="11" max="14" width="2.453125" style="66" customWidth="1"/>
    <col min="15" max="15" width="3" style="66" customWidth="1"/>
    <col min="16" max="16" width="2.54296875" style="66" customWidth="1"/>
    <col min="17" max="17" width="3.90625" style="66" customWidth="1"/>
    <col min="18" max="18" width="3.08984375" style="66" customWidth="1"/>
    <col min="19" max="19" width="1.453125" style="66" customWidth="1"/>
    <col min="20" max="20" width="2.6328125" style="66" customWidth="1"/>
    <col min="21" max="22" width="1.90625" style="66" customWidth="1"/>
    <col min="23" max="24" width="3" style="66" customWidth="1"/>
    <col min="25" max="26" width="3.81640625" style="66" customWidth="1"/>
    <col min="27" max="30" width="3" style="1" customWidth="1"/>
    <col min="31" max="31" width="3.90625" style="68" customWidth="1"/>
    <col min="32" max="32" width="2" style="1" customWidth="1"/>
    <col min="33" max="33" width="3.08984375" style="66" customWidth="1"/>
    <col min="34" max="34" width="5" style="1" customWidth="1"/>
    <col min="35" max="35" width="25.6328125" style="1" customWidth="1"/>
    <col min="36" max="52" width="22.6328125" style="1" customWidth="1"/>
    <col min="53" max="53" width="17.453125" style="1" customWidth="1"/>
    <col min="54" max="54" width="10.6328125" style="1" customWidth="1"/>
    <col min="55" max="55" width="9.6328125" style="1" customWidth="1"/>
    <col min="56" max="68" width="8" style="1"/>
    <col min="69" max="69" width="11.90625" style="1" bestFit="1" customWidth="1"/>
    <col min="70" max="70" width="9.6328125" style="1" bestFit="1" customWidth="1"/>
    <col min="71" max="71" width="22.81640625" style="1" bestFit="1" customWidth="1"/>
    <col min="72" max="78" width="22.81640625" style="1" customWidth="1"/>
    <col min="79" max="79" width="38.08984375" style="1" bestFit="1" customWidth="1"/>
    <col min="80" max="80" width="56.36328125" style="1" bestFit="1" customWidth="1"/>
    <col min="81" max="81" width="30.90625" style="1" bestFit="1" customWidth="1"/>
    <col min="82" max="82" width="71.6328125" style="1" bestFit="1" customWidth="1"/>
    <col min="83" max="83" width="59.453125" style="1" bestFit="1" customWidth="1"/>
    <col min="84" max="16384" width="8" style="1"/>
  </cols>
  <sheetData>
    <row r="1" spans="1:84" ht="24.75" customHeight="1" x14ac:dyDescent="0.3">
      <c r="A1" s="73" t="s">
        <v>37</v>
      </c>
      <c r="B1" s="72"/>
      <c r="C1" s="107"/>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9"/>
      <c r="AI1" s="81" t="s">
        <v>18</v>
      </c>
      <c r="AJ1" s="124" t="s">
        <v>295</v>
      </c>
      <c r="AK1" s="124"/>
      <c r="AL1" s="124"/>
      <c r="AM1" s="124"/>
      <c r="AN1" s="124"/>
      <c r="AO1" s="124"/>
      <c r="AP1" s="124"/>
      <c r="AQ1" s="124"/>
      <c r="AR1" s="124"/>
      <c r="AS1" s="124"/>
      <c r="AT1" s="124"/>
      <c r="AU1" s="124"/>
      <c r="AV1" s="124"/>
      <c r="AW1" s="124"/>
      <c r="AX1" s="124"/>
      <c r="AY1" s="124"/>
      <c r="AZ1" s="124"/>
      <c r="BA1" s="124"/>
      <c r="BB1" s="124"/>
      <c r="BC1" s="124"/>
      <c r="CA1" s="53"/>
      <c r="CB1" s="53"/>
      <c r="CC1" s="53"/>
      <c r="CD1" s="53"/>
      <c r="CE1" s="53"/>
      <c r="CF1" s="53"/>
    </row>
    <row r="2" spans="1:84" ht="24.75" customHeight="1" x14ac:dyDescent="0.3">
      <c r="A2" s="74" t="s">
        <v>33</v>
      </c>
      <c r="B2" s="72"/>
      <c r="C2" s="107"/>
      <c r="D2" s="108"/>
      <c r="E2" s="108"/>
      <c r="F2" s="108"/>
      <c r="G2" s="108"/>
      <c r="H2" s="108"/>
      <c r="I2" s="108"/>
      <c r="J2" s="108"/>
      <c r="K2" s="108"/>
      <c r="L2" s="108"/>
      <c r="M2" s="109"/>
      <c r="N2" s="74" t="s">
        <v>34</v>
      </c>
      <c r="O2" s="74"/>
      <c r="P2" s="71"/>
      <c r="Q2" s="110"/>
      <c r="R2" s="99"/>
      <c r="S2" s="99"/>
      <c r="T2" s="99"/>
      <c r="U2" s="99"/>
      <c r="V2" s="99"/>
      <c r="W2" s="99"/>
      <c r="X2" s="99"/>
      <c r="Y2" s="99"/>
      <c r="Z2" s="99"/>
      <c r="AA2" s="99"/>
      <c r="AB2" s="99"/>
      <c r="AC2" s="99"/>
      <c r="AD2" s="99"/>
      <c r="AE2" s="99"/>
      <c r="AF2" s="99"/>
      <c r="AG2" s="99"/>
      <c r="AH2" s="111"/>
      <c r="AI2" s="82" t="s">
        <v>35</v>
      </c>
      <c r="AJ2" s="124"/>
      <c r="AK2" s="124"/>
      <c r="AL2" s="124"/>
      <c r="AM2" s="124"/>
      <c r="AN2" s="124"/>
      <c r="AO2" s="124"/>
      <c r="AP2" s="124"/>
      <c r="AQ2" s="124"/>
      <c r="AR2" s="124"/>
      <c r="AS2" s="124"/>
      <c r="AT2" s="124"/>
      <c r="AU2" s="124"/>
      <c r="AV2" s="124"/>
      <c r="AW2" s="124"/>
      <c r="AX2" s="124"/>
      <c r="AY2" s="124"/>
      <c r="AZ2" s="124"/>
      <c r="BA2" s="124"/>
      <c r="BB2" s="124"/>
      <c r="BC2" s="124"/>
      <c r="CA2" s="54" t="s">
        <v>204</v>
      </c>
      <c r="CB2" s="54" t="s">
        <v>205</v>
      </c>
      <c r="CC2" s="55" t="s">
        <v>206</v>
      </c>
      <c r="CD2" s="55" t="s">
        <v>207</v>
      </c>
      <c r="CE2" s="56" t="s">
        <v>208</v>
      </c>
    </row>
    <row r="3" spans="1:84" ht="27.75" customHeight="1" x14ac:dyDescent="0.3">
      <c r="A3" s="75" t="s">
        <v>504</v>
      </c>
      <c r="B3" s="70"/>
      <c r="C3" s="70"/>
      <c r="D3" s="70"/>
      <c r="E3" s="70"/>
      <c r="F3" s="70"/>
      <c r="G3" s="70"/>
      <c r="H3" s="70"/>
      <c r="I3" s="70"/>
      <c r="J3" s="84"/>
      <c r="K3" s="99"/>
      <c r="L3" s="99"/>
      <c r="M3" s="99"/>
      <c r="N3" s="99"/>
      <c r="O3" s="100" t="s">
        <v>308</v>
      </c>
      <c r="P3" s="100"/>
      <c r="Q3" s="100"/>
      <c r="R3" s="100"/>
      <c r="S3" s="100"/>
      <c r="T3" s="100"/>
      <c r="U3" s="100"/>
      <c r="V3" s="100"/>
      <c r="W3" s="100"/>
      <c r="X3" s="100"/>
      <c r="Y3" s="100"/>
      <c r="Z3" s="100"/>
      <c r="AA3" s="100"/>
      <c r="AB3" s="100"/>
      <c r="AC3" s="100"/>
      <c r="AD3" s="100"/>
      <c r="AE3" s="100"/>
      <c r="AF3" s="100"/>
      <c r="AG3" s="100"/>
      <c r="AH3" s="101"/>
      <c r="AI3" s="82" t="s">
        <v>36</v>
      </c>
      <c r="AJ3" s="124"/>
      <c r="AK3" s="124"/>
      <c r="AL3" s="124"/>
      <c r="AM3" s="124"/>
      <c r="AN3" s="124"/>
      <c r="AO3" s="124"/>
      <c r="AP3" s="124"/>
      <c r="AQ3" s="124"/>
      <c r="AR3" s="124"/>
      <c r="AS3" s="124"/>
      <c r="AT3" s="124"/>
      <c r="AU3" s="124"/>
      <c r="AV3" s="124"/>
      <c r="AW3" s="124"/>
      <c r="AX3" s="124"/>
      <c r="AY3" s="124"/>
      <c r="AZ3" s="124"/>
      <c r="BA3" s="124"/>
      <c r="BB3" s="124"/>
      <c r="BC3" s="124"/>
      <c r="CA3" s="57" t="s">
        <v>209</v>
      </c>
      <c r="CB3" s="58" t="s">
        <v>210</v>
      </c>
      <c r="CC3" s="57" t="s">
        <v>211</v>
      </c>
      <c r="CD3" s="57" t="s">
        <v>212</v>
      </c>
      <c r="CE3" s="57" t="s">
        <v>213</v>
      </c>
    </row>
    <row r="4" spans="1:84" ht="51.75" customHeight="1" x14ac:dyDescent="0.25">
      <c r="A4" s="121" t="s">
        <v>301</v>
      </c>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3"/>
      <c r="AI4" s="83" t="s">
        <v>459</v>
      </c>
      <c r="AJ4" s="124"/>
      <c r="AK4" s="124"/>
      <c r="AL4" s="124"/>
      <c r="AM4" s="124"/>
      <c r="AN4" s="124"/>
      <c r="AO4" s="124"/>
      <c r="AP4" s="124"/>
      <c r="AQ4" s="124"/>
      <c r="AR4" s="124"/>
      <c r="AS4" s="124"/>
      <c r="AT4" s="124"/>
      <c r="AU4" s="124"/>
      <c r="AV4" s="124"/>
      <c r="AW4" s="124"/>
      <c r="AX4" s="124"/>
      <c r="AY4" s="124"/>
      <c r="AZ4" s="124"/>
      <c r="BA4" s="124"/>
      <c r="BB4" s="124"/>
      <c r="BC4" s="124"/>
      <c r="CA4" s="57" t="s">
        <v>214</v>
      </c>
      <c r="CB4" s="59" t="s">
        <v>215</v>
      </c>
      <c r="CC4" s="57" t="s">
        <v>216</v>
      </c>
      <c r="CD4" s="57" t="s">
        <v>217</v>
      </c>
      <c r="CE4" s="57" t="s">
        <v>218</v>
      </c>
    </row>
    <row r="5" spans="1:84" ht="36" customHeight="1" x14ac:dyDescent="0.25">
      <c r="A5" s="119" t="s">
        <v>19</v>
      </c>
      <c r="B5" s="119" t="s">
        <v>302</v>
      </c>
      <c r="C5" s="133" t="s">
        <v>123</v>
      </c>
      <c r="D5" s="128" t="s">
        <v>304</v>
      </c>
      <c r="E5" s="133" t="s">
        <v>460</v>
      </c>
      <c r="F5" s="128" t="s">
        <v>457</v>
      </c>
      <c r="G5" s="134" t="s">
        <v>505</v>
      </c>
      <c r="H5" s="134"/>
      <c r="I5" s="128" t="s">
        <v>502</v>
      </c>
      <c r="J5" s="119" t="s">
        <v>458</v>
      </c>
      <c r="K5" s="102" t="s">
        <v>464</v>
      </c>
      <c r="L5" s="103"/>
      <c r="M5" s="103"/>
      <c r="N5" s="103"/>
      <c r="O5" s="104"/>
      <c r="P5" s="118" t="s">
        <v>465</v>
      </c>
      <c r="Q5" s="120"/>
      <c r="R5" s="120"/>
      <c r="S5" s="118" t="s">
        <v>466</v>
      </c>
      <c r="T5" s="118"/>
      <c r="U5" s="118"/>
      <c r="V5" s="118"/>
      <c r="W5" s="118"/>
      <c r="X5" s="159" t="s">
        <v>467</v>
      </c>
      <c r="Y5" s="105" t="s">
        <v>468</v>
      </c>
      <c r="Z5" s="105"/>
      <c r="AA5" s="102" t="s">
        <v>469</v>
      </c>
      <c r="AB5" s="103"/>
      <c r="AC5" s="103"/>
      <c r="AD5" s="104"/>
      <c r="AE5" s="112" t="s">
        <v>470</v>
      </c>
      <c r="AF5" s="115" t="s">
        <v>471</v>
      </c>
      <c r="AG5" s="116" t="s">
        <v>472</v>
      </c>
      <c r="AH5" s="131" t="s">
        <v>473</v>
      </c>
      <c r="AI5" s="135" t="s">
        <v>474</v>
      </c>
      <c r="AJ5" s="126" t="s">
        <v>475</v>
      </c>
      <c r="AK5" s="127" t="s">
        <v>476</v>
      </c>
      <c r="AL5" s="127"/>
      <c r="AM5" s="125" t="s">
        <v>479</v>
      </c>
      <c r="AN5" s="125" t="s">
        <v>480</v>
      </c>
      <c r="AO5" s="126" t="s">
        <v>481</v>
      </c>
      <c r="AP5" s="126" t="s">
        <v>482</v>
      </c>
      <c r="AQ5" s="125" t="s">
        <v>483</v>
      </c>
      <c r="AR5" s="125"/>
      <c r="AS5" s="125"/>
      <c r="AT5" s="125" t="s">
        <v>487</v>
      </c>
      <c r="AU5" s="125" t="s">
        <v>488</v>
      </c>
      <c r="AV5" s="125"/>
      <c r="AW5" s="125"/>
      <c r="AX5" s="125" t="s">
        <v>492</v>
      </c>
      <c r="AY5" s="126" t="s">
        <v>493</v>
      </c>
      <c r="AZ5" s="125" t="s">
        <v>494</v>
      </c>
      <c r="BA5" s="125" t="s">
        <v>495</v>
      </c>
      <c r="BB5" s="125"/>
      <c r="BC5" s="125"/>
      <c r="BX5" s="79" t="s">
        <v>343</v>
      </c>
      <c r="BY5" s="79"/>
      <c r="BZ5" s="79"/>
      <c r="CA5" s="57" t="s">
        <v>219</v>
      </c>
      <c r="CB5" s="58" t="s">
        <v>220</v>
      </c>
      <c r="CC5" s="57" t="s">
        <v>221</v>
      </c>
      <c r="CD5" s="57" t="s">
        <v>222</v>
      </c>
      <c r="CE5" s="57" t="s">
        <v>223</v>
      </c>
    </row>
    <row r="6" spans="1:84" ht="39" customHeight="1" x14ac:dyDescent="0.25">
      <c r="A6" s="119"/>
      <c r="B6" s="119"/>
      <c r="C6" s="133"/>
      <c r="D6" s="129"/>
      <c r="E6" s="119"/>
      <c r="F6" s="129"/>
      <c r="G6" s="134"/>
      <c r="H6" s="134"/>
      <c r="I6" s="129"/>
      <c r="J6" s="119"/>
      <c r="K6" s="102" t="s">
        <v>298</v>
      </c>
      <c r="L6" s="103"/>
      <c r="M6" s="103"/>
      <c r="N6" s="104"/>
      <c r="O6" s="106" t="s">
        <v>299</v>
      </c>
      <c r="P6" s="106" t="s">
        <v>25</v>
      </c>
      <c r="Q6" s="106" t="s">
        <v>32</v>
      </c>
      <c r="R6" s="106" t="s">
        <v>292</v>
      </c>
      <c r="S6" s="117" t="s">
        <v>27</v>
      </c>
      <c r="T6" s="117" t="s">
        <v>28</v>
      </c>
      <c r="U6" s="117" t="s">
        <v>39</v>
      </c>
      <c r="V6" s="117" t="s">
        <v>38</v>
      </c>
      <c r="W6" s="117" t="s">
        <v>29</v>
      </c>
      <c r="X6" s="159"/>
      <c r="Y6" s="132" t="s">
        <v>461</v>
      </c>
      <c r="Z6" s="132" t="s">
        <v>462</v>
      </c>
      <c r="AA6" s="117" t="s">
        <v>30</v>
      </c>
      <c r="AB6" s="117" t="s">
        <v>40</v>
      </c>
      <c r="AC6" s="117" t="s">
        <v>41</v>
      </c>
      <c r="AD6" s="117" t="s">
        <v>31</v>
      </c>
      <c r="AE6" s="113"/>
      <c r="AF6" s="115"/>
      <c r="AG6" s="116"/>
      <c r="AH6" s="131"/>
      <c r="AI6" s="136"/>
      <c r="AJ6" s="126"/>
      <c r="AK6" s="125" t="s">
        <v>477</v>
      </c>
      <c r="AL6" s="125" t="s">
        <v>478</v>
      </c>
      <c r="AM6" s="125"/>
      <c r="AN6" s="125"/>
      <c r="AO6" s="126"/>
      <c r="AP6" s="126"/>
      <c r="AQ6" s="125" t="s">
        <v>484</v>
      </c>
      <c r="AR6" s="125" t="s">
        <v>485</v>
      </c>
      <c r="AS6" s="125" t="s">
        <v>486</v>
      </c>
      <c r="AT6" s="125"/>
      <c r="AU6" s="125" t="s">
        <v>489</v>
      </c>
      <c r="AV6" s="125" t="s">
        <v>490</v>
      </c>
      <c r="AW6" s="125" t="s">
        <v>491</v>
      </c>
      <c r="AX6" s="125"/>
      <c r="AY6" s="126"/>
      <c r="AZ6" s="125"/>
      <c r="BA6" s="125" t="s">
        <v>496</v>
      </c>
      <c r="BB6" s="125" t="s">
        <v>497</v>
      </c>
      <c r="BC6" s="125" t="s">
        <v>498</v>
      </c>
      <c r="BQ6" s="1" t="s">
        <v>200</v>
      </c>
      <c r="BR6" s="1" t="s">
        <v>305</v>
      </c>
      <c r="BS6" s="1" t="s">
        <v>309</v>
      </c>
      <c r="BT6" s="76" t="s">
        <v>328</v>
      </c>
      <c r="BU6" s="76" t="s">
        <v>6</v>
      </c>
      <c r="BV6" s="76">
        <v>1</v>
      </c>
      <c r="BW6" s="76" t="s">
        <v>338</v>
      </c>
      <c r="BX6" s="76" t="s">
        <v>346</v>
      </c>
      <c r="BY6" s="76" t="s">
        <v>450</v>
      </c>
      <c r="BZ6" s="76" t="s">
        <v>455</v>
      </c>
      <c r="CA6" s="57" t="s">
        <v>224</v>
      </c>
      <c r="CB6" s="58" t="s">
        <v>225</v>
      </c>
      <c r="CC6" s="57" t="s">
        <v>226</v>
      </c>
      <c r="CD6" s="57" t="s">
        <v>227</v>
      </c>
      <c r="CE6" s="57" t="s">
        <v>228</v>
      </c>
    </row>
    <row r="7" spans="1:84" ht="39" customHeight="1" x14ac:dyDescent="0.25">
      <c r="A7" s="119"/>
      <c r="B7" s="119"/>
      <c r="C7" s="133"/>
      <c r="D7" s="130"/>
      <c r="E7" s="119"/>
      <c r="F7" s="130"/>
      <c r="G7" s="43" t="s">
        <v>133</v>
      </c>
      <c r="H7" s="43" t="s">
        <v>134</v>
      </c>
      <c r="I7" s="130"/>
      <c r="J7" s="119"/>
      <c r="K7" s="52" t="s">
        <v>20</v>
      </c>
      <c r="L7" s="52" t="s">
        <v>21</v>
      </c>
      <c r="M7" s="52" t="s">
        <v>297</v>
      </c>
      <c r="N7" s="52" t="s">
        <v>463</v>
      </c>
      <c r="O7" s="106"/>
      <c r="P7" s="106"/>
      <c r="Q7" s="106"/>
      <c r="R7" s="106"/>
      <c r="S7" s="117"/>
      <c r="T7" s="117"/>
      <c r="U7" s="117"/>
      <c r="V7" s="117"/>
      <c r="W7" s="117"/>
      <c r="X7" s="159"/>
      <c r="Y7" s="132"/>
      <c r="Z7" s="132"/>
      <c r="AA7" s="117"/>
      <c r="AB7" s="117"/>
      <c r="AC7" s="117"/>
      <c r="AD7" s="117"/>
      <c r="AE7" s="114"/>
      <c r="AF7" s="115"/>
      <c r="AG7" s="116"/>
      <c r="AH7" s="131"/>
      <c r="AI7" s="137"/>
      <c r="AJ7" s="126"/>
      <c r="AK7" s="125"/>
      <c r="AL7" s="125"/>
      <c r="AM7" s="125"/>
      <c r="AN7" s="125"/>
      <c r="AO7" s="126"/>
      <c r="AP7" s="126"/>
      <c r="AQ7" s="125"/>
      <c r="AR7" s="125"/>
      <c r="AS7" s="125"/>
      <c r="AT7" s="125"/>
      <c r="AU7" s="125"/>
      <c r="AV7" s="125"/>
      <c r="AW7" s="125"/>
      <c r="AX7" s="125"/>
      <c r="AY7" s="126"/>
      <c r="AZ7" s="125"/>
      <c r="BA7" s="125"/>
      <c r="BB7" s="125"/>
      <c r="BC7" s="125"/>
      <c r="BQ7" s="1" t="s">
        <v>199</v>
      </c>
      <c r="BR7" s="1" t="s">
        <v>306</v>
      </c>
      <c r="BS7" s="1" t="s">
        <v>310</v>
      </c>
      <c r="BT7" s="76" t="s">
        <v>329</v>
      </c>
      <c r="BU7" s="76" t="s">
        <v>337</v>
      </c>
      <c r="BV7" s="76">
        <v>2</v>
      </c>
      <c r="BW7" s="76" t="s">
        <v>339</v>
      </c>
      <c r="BX7" s="76" t="s">
        <v>344</v>
      </c>
      <c r="BY7" s="76" t="s">
        <v>451</v>
      </c>
      <c r="BZ7" s="76" t="s">
        <v>456</v>
      </c>
      <c r="CA7" s="57" t="s">
        <v>229</v>
      </c>
      <c r="CB7" s="58" t="s">
        <v>230</v>
      </c>
      <c r="CC7" s="57" t="s">
        <v>231</v>
      </c>
      <c r="CD7" s="57" t="s">
        <v>232</v>
      </c>
      <c r="CE7" s="57" t="s">
        <v>233</v>
      </c>
    </row>
    <row r="8" spans="1:84" ht="39" customHeight="1" x14ac:dyDescent="0.3">
      <c r="A8" s="2"/>
      <c r="B8" s="3"/>
      <c r="C8" s="3"/>
      <c r="D8" s="3"/>
      <c r="E8" s="42"/>
      <c r="F8" s="42"/>
      <c r="G8" s="3"/>
      <c r="H8" s="3"/>
      <c r="I8" s="3"/>
      <c r="K8" s="3"/>
      <c r="L8" s="3"/>
      <c r="M8" s="3"/>
      <c r="N8" s="3"/>
      <c r="O8" s="3"/>
      <c r="P8" s="3"/>
      <c r="Q8" s="3"/>
      <c r="R8" s="3"/>
      <c r="S8" s="3"/>
      <c r="T8" s="3"/>
      <c r="U8" s="3"/>
      <c r="V8" s="3"/>
      <c r="W8" s="3"/>
      <c r="X8" s="3"/>
      <c r="Y8" s="3"/>
      <c r="Z8" s="3"/>
      <c r="AA8" s="3"/>
      <c r="AB8" s="3"/>
      <c r="AC8" s="3"/>
      <c r="AD8" s="3"/>
      <c r="AE8" s="3"/>
      <c r="AF8" s="3"/>
      <c r="AG8" s="3"/>
      <c r="AH8" s="3"/>
      <c r="AI8" s="6"/>
      <c r="AJ8" s="6"/>
      <c r="AK8" s="6"/>
      <c r="AL8" s="6"/>
      <c r="AM8" s="6"/>
      <c r="AN8" s="6"/>
      <c r="AO8" s="6"/>
      <c r="AP8" s="14" t="str">
        <f>+IF(AE8=0," ",IF(AE8&lt;=5,"Primera infancia",IF(AE8&lt;=11,"Infancia",IF(AE8&lt;=17,"Adolescencia",IF(AE8&lt;=28,"Jóvenes",IF(AE8&lt;=60,"Adultos",IF(AE8&lt;=120,"Mayores","")))))))</f>
        <v xml:space="preserve"> </v>
      </c>
      <c r="AQ8" s="6"/>
      <c r="AR8" s="6"/>
      <c r="AS8" s="6"/>
      <c r="AT8" s="6"/>
      <c r="AU8" s="6"/>
      <c r="AV8" s="6"/>
      <c r="AW8" s="6"/>
      <c r="AX8" s="6"/>
      <c r="AY8" s="6"/>
      <c r="AZ8" s="6"/>
      <c r="BA8" s="6"/>
      <c r="BB8" s="6"/>
      <c r="BC8" s="6"/>
      <c r="BQ8" s="1" t="s">
        <v>201</v>
      </c>
      <c r="BR8" s="1" t="s">
        <v>307</v>
      </c>
      <c r="BS8" s="1" t="s">
        <v>311</v>
      </c>
      <c r="BT8" s="76" t="s">
        <v>330</v>
      </c>
      <c r="BU8" s="76"/>
      <c r="BV8" s="76">
        <v>3</v>
      </c>
      <c r="BW8" s="76" t="s">
        <v>340</v>
      </c>
      <c r="BX8" s="76" t="s">
        <v>345</v>
      </c>
      <c r="BY8" s="76" t="s">
        <v>452</v>
      </c>
      <c r="BZ8" s="76"/>
      <c r="CA8" s="57" t="s">
        <v>234</v>
      </c>
      <c r="CB8" s="60" t="s">
        <v>235</v>
      </c>
      <c r="CC8" s="57"/>
      <c r="CD8" s="57" t="s">
        <v>236</v>
      </c>
      <c r="CE8" s="1" t="s">
        <v>237</v>
      </c>
    </row>
    <row r="9" spans="1:84" ht="39" customHeight="1" x14ac:dyDescent="0.3">
      <c r="A9" s="2"/>
      <c r="B9" s="3"/>
      <c r="C9" s="3"/>
      <c r="D9" s="3"/>
      <c r="E9" s="3"/>
      <c r="F9" s="3"/>
      <c r="G9" s="3"/>
      <c r="H9" s="3"/>
      <c r="I9" s="3"/>
      <c r="J9" s="3"/>
      <c r="K9" s="5"/>
      <c r="L9" s="5"/>
      <c r="M9" s="5"/>
      <c r="N9" s="5"/>
      <c r="O9" s="5"/>
      <c r="P9" s="5"/>
      <c r="Q9" s="5"/>
      <c r="R9" s="5"/>
      <c r="S9" s="5"/>
      <c r="T9" s="5"/>
      <c r="U9" s="5"/>
      <c r="V9" s="5"/>
      <c r="W9" s="5"/>
      <c r="X9" s="5"/>
      <c r="Y9" s="5"/>
      <c r="Z9" s="5"/>
      <c r="AA9" s="5"/>
      <c r="AB9" s="5"/>
      <c r="AC9" s="5"/>
      <c r="AD9" s="5"/>
      <c r="AE9" s="5"/>
      <c r="AF9" s="5"/>
      <c r="AG9" s="5"/>
      <c r="AH9" s="4"/>
      <c r="AI9" s="6"/>
      <c r="AJ9" s="6"/>
      <c r="AK9" s="6"/>
      <c r="AL9" s="6"/>
      <c r="AM9" s="6"/>
      <c r="AN9" s="6"/>
      <c r="AO9" s="6"/>
      <c r="AP9" s="14" t="str">
        <f>+IF(AE9=0," ",IF(AE9&lt;=5,"Primera infancia",IF(AE9&lt;=11,"Infancia",IF(AE9&lt;=17,"Adolescencia",IF(AE9&lt;=28,"Jóvenes",IF(AE9&lt;=60,"Adultos",IF(AE9&lt;=120,"Mayores","")))))))</f>
        <v xml:space="preserve"> </v>
      </c>
      <c r="AQ9" s="6"/>
      <c r="AR9" s="6"/>
      <c r="AS9" s="6"/>
      <c r="AT9" s="6"/>
      <c r="AU9" s="6"/>
      <c r="AV9" s="6"/>
      <c r="AW9" s="6"/>
      <c r="AX9" s="6"/>
      <c r="AY9" s="6"/>
      <c r="AZ9" s="6"/>
      <c r="BA9" s="6"/>
      <c r="BB9" s="6"/>
      <c r="BC9" s="6"/>
      <c r="BQ9" s="1" t="s">
        <v>202</v>
      </c>
      <c r="BS9" s="1" t="s">
        <v>312</v>
      </c>
      <c r="BT9" s="76" t="s">
        <v>331</v>
      </c>
      <c r="BU9" s="76"/>
      <c r="BV9" s="76">
        <v>4</v>
      </c>
      <c r="BW9" s="76" t="s">
        <v>341</v>
      </c>
      <c r="BX9" s="76" t="s">
        <v>347</v>
      </c>
      <c r="BY9" s="76" t="s">
        <v>453</v>
      </c>
      <c r="BZ9" s="76"/>
      <c r="CA9" s="57" t="s">
        <v>238</v>
      </c>
      <c r="CB9" s="58" t="s">
        <v>239</v>
      </c>
      <c r="CC9" s="57"/>
      <c r="CD9" s="57" t="s">
        <v>240</v>
      </c>
      <c r="CE9" s="57" t="s">
        <v>241</v>
      </c>
    </row>
    <row r="10" spans="1:84" ht="39" customHeight="1" x14ac:dyDescent="0.3">
      <c r="A10" s="2"/>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6"/>
      <c r="AJ10" s="6"/>
      <c r="AK10" s="6"/>
      <c r="AL10" s="6"/>
      <c r="AM10" s="6"/>
      <c r="AN10" s="6"/>
      <c r="AO10" s="6"/>
      <c r="AP10" s="14" t="str">
        <f>+IF(AE10=0," ",IF(AE10&lt;=5,"Primera infancia",IF(AE10&lt;=11,"Infancia",IF(AE10&lt;=17,"Adolescencia",IF(AE10&lt;=28,"Jóvenes",IF(AE10&lt;=60,"Adultos",IF(AE10&lt;=120,"Mayores","")))))))</f>
        <v xml:space="preserve"> </v>
      </c>
      <c r="AQ10" s="6"/>
      <c r="AR10" s="6"/>
      <c r="AS10" s="6"/>
      <c r="AT10" s="6"/>
      <c r="AU10" s="6"/>
      <c r="AV10" s="6"/>
      <c r="AW10" s="6"/>
      <c r="AX10" s="6"/>
      <c r="AY10" s="6"/>
      <c r="AZ10" s="6"/>
      <c r="BA10" s="6"/>
      <c r="BB10" s="6"/>
      <c r="BC10" s="6"/>
      <c r="BQ10" s="1" t="s">
        <v>203</v>
      </c>
      <c r="BS10" s="1" t="s">
        <v>313</v>
      </c>
      <c r="BT10" s="76" t="s">
        <v>332</v>
      </c>
      <c r="BU10" s="76"/>
      <c r="BV10" s="76">
        <v>5</v>
      </c>
      <c r="BW10" s="76"/>
      <c r="BX10" s="76" t="s">
        <v>348</v>
      </c>
      <c r="BY10" s="76" t="s">
        <v>454</v>
      </c>
      <c r="BZ10" s="76"/>
      <c r="CA10" s="57" t="s">
        <v>242</v>
      </c>
      <c r="CB10" s="58" t="s">
        <v>243</v>
      </c>
      <c r="CC10" s="57"/>
      <c r="CD10" s="57" t="s">
        <v>244</v>
      </c>
      <c r="CE10" s="57" t="s">
        <v>245</v>
      </c>
    </row>
    <row r="11" spans="1:84" ht="39" customHeight="1" x14ac:dyDescent="0.3">
      <c r="A11" s="2"/>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6"/>
      <c r="AJ11" s="6"/>
      <c r="AK11" s="6"/>
      <c r="AL11" s="6"/>
      <c r="AM11" s="6"/>
      <c r="AN11" s="6"/>
      <c r="AO11" s="6"/>
      <c r="AP11" s="14" t="str">
        <f t="shared" ref="AP11:AP74" si="0">+IF(AE11=0," ",IF(AE11&lt;=5,"Primera infancia",IF(AE11&lt;=11,"Infancia",IF(AE11&lt;=17,"Adolescencia",IF(AE11&lt;=28,"Jóvenes",IF(AE11&lt;=60,"Adultos",IF(AE11&lt;=120,"Mayores","")))))))</f>
        <v xml:space="preserve"> </v>
      </c>
      <c r="AQ11" s="6"/>
      <c r="AR11" s="6"/>
      <c r="AS11" s="6"/>
      <c r="AT11" s="6"/>
      <c r="AU11" s="6"/>
      <c r="AV11" s="6"/>
      <c r="AW11" s="6"/>
      <c r="AX11" s="6"/>
      <c r="AY11" s="6"/>
      <c r="AZ11" s="6"/>
      <c r="BA11" s="6"/>
      <c r="BB11" s="6"/>
      <c r="BC11" s="6"/>
      <c r="BQ11" s="1" t="s">
        <v>303</v>
      </c>
      <c r="BS11" s="1" t="s">
        <v>314</v>
      </c>
      <c r="BT11" s="76" t="s">
        <v>333</v>
      </c>
      <c r="BU11" s="76"/>
      <c r="BV11" s="76">
        <v>6</v>
      </c>
      <c r="BW11" s="76"/>
      <c r="BX11" s="76" t="s">
        <v>349</v>
      </c>
      <c r="BY11" s="76"/>
      <c r="BZ11" s="76"/>
      <c r="CA11" s="57" t="s">
        <v>246</v>
      </c>
      <c r="CB11" s="58" t="s">
        <v>247</v>
      </c>
      <c r="CC11" s="57"/>
      <c r="CD11" s="57" t="s">
        <v>248</v>
      </c>
      <c r="CE11" s="57" t="s">
        <v>249</v>
      </c>
    </row>
    <row r="12" spans="1:84" ht="39" customHeight="1" x14ac:dyDescent="0.3">
      <c r="A12" s="2"/>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6"/>
      <c r="AJ12" s="6"/>
      <c r="AK12" s="6"/>
      <c r="AL12" s="6"/>
      <c r="AM12" s="6"/>
      <c r="AN12" s="6"/>
      <c r="AO12" s="6"/>
      <c r="AP12" s="14" t="str">
        <f t="shared" si="0"/>
        <v xml:space="preserve"> </v>
      </c>
      <c r="AQ12" s="6"/>
      <c r="AR12" s="6"/>
      <c r="AS12" s="6"/>
      <c r="AT12" s="6"/>
      <c r="AU12" s="6"/>
      <c r="AV12" s="6"/>
      <c r="AW12" s="6"/>
      <c r="AX12" s="6"/>
      <c r="AY12" s="6"/>
      <c r="AZ12" s="6"/>
      <c r="BA12" s="6"/>
      <c r="BB12" s="6"/>
      <c r="BC12" s="6"/>
      <c r="BS12" s="1" t="s">
        <v>315</v>
      </c>
      <c r="BT12" s="76" t="s">
        <v>334</v>
      </c>
      <c r="BU12" s="76"/>
      <c r="BV12" s="76">
        <v>7</v>
      </c>
      <c r="BW12" s="76"/>
      <c r="BX12" s="76" t="s">
        <v>350</v>
      </c>
      <c r="BY12" s="76"/>
      <c r="BZ12" s="76"/>
      <c r="CA12" s="57" t="s">
        <v>250</v>
      </c>
      <c r="CB12" s="58" t="s">
        <v>251</v>
      </c>
      <c r="CC12" s="57"/>
      <c r="CD12" s="57" t="s">
        <v>252</v>
      </c>
      <c r="CE12" s="57" t="s">
        <v>253</v>
      </c>
    </row>
    <row r="13" spans="1:84" ht="39" customHeight="1" x14ac:dyDescent="0.3">
      <c r="A13" s="2"/>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6"/>
      <c r="AJ13" s="6"/>
      <c r="AK13" s="6"/>
      <c r="AL13" s="6"/>
      <c r="AM13" s="6"/>
      <c r="AN13" s="6"/>
      <c r="AO13" s="6"/>
      <c r="AP13" s="14" t="str">
        <f t="shared" si="0"/>
        <v xml:space="preserve"> </v>
      </c>
      <c r="AQ13" s="6"/>
      <c r="AR13" s="6"/>
      <c r="AS13" s="6"/>
      <c r="AT13" s="6"/>
      <c r="AU13" s="6"/>
      <c r="AV13" s="6"/>
      <c r="AW13" s="6"/>
      <c r="AX13" s="6"/>
      <c r="AY13" s="6"/>
      <c r="AZ13" s="6"/>
      <c r="BA13" s="6"/>
      <c r="BB13" s="6"/>
      <c r="BC13" s="6"/>
      <c r="BS13" s="1" t="s">
        <v>316</v>
      </c>
      <c r="BT13" s="76" t="s">
        <v>335</v>
      </c>
      <c r="BU13" s="76"/>
      <c r="BV13" s="76">
        <v>8</v>
      </c>
      <c r="BW13" s="76"/>
      <c r="BX13" s="78" t="s">
        <v>351</v>
      </c>
      <c r="BY13" s="78"/>
      <c r="BZ13" s="78"/>
      <c r="CA13" s="57" t="s">
        <v>254</v>
      </c>
      <c r="CB13" s="58" t="s">
        <v>255</v>
      </c>
      <c r="CC13" s="57"/>
      <c r="CD13" s="57" t="s">
        <v>256</v>
      </c>
      <c r="CE13" s="57" t="s">
        <v>257</v>
      </c>
    </row>
    <row r="14" spans="1:84" ht="39" customHeight="1" x14ac:dyDescent="0.3">
      <c r="A14" s="2"/>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6"/>
      <c r="AJ14" s="6"/>
      <c r="AK14" s="6"/>
      <c r="AL14" s="6"/>
      <c r="AM14" s="6"/>
      <c r="AN14" s="6"/>
      <c r="AO14" s="6"/>
      <c r="AP14" s="14" t="str">
        <f t="shared" si="0"/>
        <v xml:space="preserve"> </v>
      </c>
      <c r="AQ14" s="6"/>
      <c r="AR14" s="6"/>
      <c r="AS14" s="6"/>
      <c r="AT14" s="6"/>
      <c r="AU14" s="6"/>
      <c r="AV14" s="6"/>
      <c r="AW14" s="6"/>
      <c r="AX14" s="6"/>
      <c r="AY14" s="6"/>
      <c r="AZ14" s="6"/>
      <c r="BA14" s="6"/>
      <c r="BB14" s="6"/>
      <c r="BC14" s="6"/>
      <c r="BS14" s="1" t="s">
        <v>317</v>
      </c>
      <c r="BT14" s="77" t="s">
        <v>336</v>
      </c>
      <c r="BU14" s="77"/>
      <c r="BV14" s="76">
        <v>9</v>
      </c>
      <c r="BW14" s="77"/>
      <c r="BX14" s="77" t="s">
        <v>352</v>
      </c>
      <c r="BY14" s="77"/>
      <c r="BZ14" s="77"/>
      <c r="CA14" s="57" t="s">
        <v>258</v>
      </c>
      <c r="CB14" s="58" t="s">
        <v>259</v>
      </c>
      <c r="CC14" s="57"/>
      <c r="CD14" s="57" t="s">
        <v>260</v>
      </c>
      <c r="CE14" s="57" t="s">
        <v>261</v>
      </c>
    </row>
    <row r="15" spans="1:84" ht="39" customHeight="1" x14ac:dyDescent="0.3">
      <c r="A15" s="63"/>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P15" s="65" t="str">
        <f t="shared" si="0"/>
        <v xml:space="preserve"> </v>
      </c>
      <c r="BS15" s="1" t="s">
        <v>318</v>
      </c>
      <c r="BV15" s="76">
        <v>10</v>
      </c>
      <c r="BX15" s="80" t="s">
        <v>353</v>
      </c>
      <c r="BY15" s="80"/>
      <c r="BZ15" s="80"/>
      <c r="CA15" s="57" t="s">
        <v>262</v>
      </c>
      <c r="CB15" s="58" t="s">
        <v>263</v>
      </c>
      <c r="CC15" s="57"/>
      <c r="CD15" s="57" t="s">
        <v>231</v>
      </c>
      <c r="CE15" s="57" t="s">
        <v>264</v>
      </c>
    </row>
    <row r="16" spans="1:84" ht="39" customHeight="1" x14ac:dyDescent="0.3">
      <c r="A16" s="63"/>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P16" s="65" t="str">
        <f t="shared" si="0"/>
        <v xml:space="preserve"> </v>
      </c>
      <c r="BS16" s="1" t="s">
        <v>319</v>
      </c>
      <c r="BV16" s="76">
        <v>11</v>
      </c>
      <c r="BX16" s="80" t="s">
        <v>354</v>
      </c>
      <c r="BY16" s="80"/>
      <c r="BZ16" s="80"/>
      <c r="CA16" s="57" t="s">
        <v>265</v>
      </c>
      <c r="CB16" s="58" t="s">
        <v>266</v>
      </c>
      <c r="CC16" s="57"/>
      <c r="CD16" s="57"/>
      <c r="CE16" s="57" t="s">
        <v>267</v>
      </c>
    </row>
    <row r="17" spans="1:83" ht="39" customHeight="1" x14ac:dyDescent="0.3">
      <c r="A17" s="63"/>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P17" s="65" t="str">
        <f t="shared" si="0"/>
        <v xml:space="preserve"> </v>
      </c>
      <c r="BS17" s="1" t="s">
        <v>320</v>
      </c>
      <c r="BV17" s="76">
        <v>12</v>
      </c>
      <c r="BX17" s="80" t="s">
        <v>358</v>
      </c>
      <c r="BY17" s="80"/>
      <c r="BZ17" s="80"/>
      <c r="CA17" s="57" t="s">
        <v>268</v>
      </c>
      <c r="CB17" s="58" t="s">
        <v>269</v>
      </c>
      <c r="CC17" s="57"/>
      <c r="CD17" s="57"/>
      <c r="CE17" s="57" t="s">
        <v>270</v>
      </c>
    </row>
    <row r="18" spans="1:83" ht="39" customHeight="1" x14ac:dyDescent="0.3">
      <c r="A18" s="63"/>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P18" s="65" t="str">
        <f t="shared" si="0"/>
        <v xml:space="preserve"> </v>
      </c>
      <c r="BS18" s="1" t="s">
        <v>321</v>
      </c>
      <c r="BV18" s="76"/>
      <c r="BX18" s="80" t="s">
        <v>373</v>
      </c>
      <c r="BY18" s="80"/>
      <c r="BZ18" s="80"/>
      <c r="CA18" s="57" t="s">
        <v>271</v>
      </c>
      <c r="CB18" s="58" t="s">
        <v>272</v>
      </c>
      <c r="CC18" s="57"/>
      <c r="CD18" s="57"/>
      <c r="CE18" s="57" t="s">
        <v>273</v>
      </c>
    </row>
    <row r="19" spans="1:83" ht="39" customHeight="1" x14ac:dyDescent="0.3">
      <c r="A19" s="63"/>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P19" s="65" t="str">
        <f t="shared" si="0"/>
        <v xml:space="preserve"> </v>
      </c>
      <c r="BS19" s="1" t="s">
        <v>322</v>
      </c>
      <c r="BV19" s="76"/>
      <c r="BX19" s="80" t="s">
        <v>378</v>
      </c>
      <c r="BY19" s="80"/>
      <c r="BZ19" s="80"/>
      <c r="CA19" s="57" t="s">
        <v>274</v>
      </c>
      <c r="CB19" s="58" t="s">
        <v>275</v>
      </c>
      <c r="CC19" s="57"/>
      <c r="CD19" s="57"/>
      <c r="CE19" s="57" t="s">
        <v>276</v>
      </c>
    </row>
    <row r="20" spans="1:83" ht="39" customHeight="1" x14ac:dyDescent="0.3">
      <c r="A20" s="63"/>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P20" s="65" t="str">
        <f t="shared" si="0"/>
        <v xml:space="preserve"> </v>
      </c>
      <c r="BS20" s="1" t="s">
        <v>323</v>
      </c>
      <c r="BV20" s="76"/>
      <c r="BX20" s="80" t="s">
        <v>361</v>
      </c>
      <c r="BY20" s="80"/>
      <c r="BZ20" s="80"/>
      <c r="CA20" s="57" t="s">
        <v>231</v>
      </c>
      <c r="CB20" s="58" t="s">
        <v>277</v>
      </c>
      <c r="CC20" s="57"/>
      <c r="CD20" s="57"/>
      <c r="CE20" s="1" t="s">
        <v>278</v>
      </c>
    </row>
    <row r="21" spans="1:83" ht="39" customHeight="1" x14ac:dyDescent="0.3">
      <c r="A21" s="63"/>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P21" s="65" t="str">
        <f t="shared" si="0"/>
        <v xml:space="preserve"> </v>
      </c>
      <c r="BS21" s="1" t="s">
        <v>324</v>
      </c>
      <c r="BV21" s="76"/>
      <c r="BX21" s="80" t="s">
        <v>362</v>
      </c>
      <c r="BY21" s="80"/>
      <c r="BZ21" s="80"/>
      <c r="CA21" s="57"/>
      <c r="CB21" s="58" t="s">
        <v>279</v>
      </c>
      <c r="CC21" s="57"/>
      <c r="CD21" s="57"/>
      <c r="CE21" s="1" t="s">
        <v>280</v>
      </c>
    </row>
    <row r="22" spans="1:83" ht="39" customHeight="1" x14ac:dyDescent="0.3">
      <c r="A22" s="63"/>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P22" s="65" t="str">
        <f t="shared" si="0"/>
        <v xml:space="preserve"> </v>
      </c>
      <c r="BS22" s="1" t="s">
        <v>325</v>
      </c>
      <c r="BV22" s="76"/>
      <c r="BX22" s="80" t="s">
        <v>363</v>
      </c>
      <c r="BY22" s="80"/>
      <c r="BZ22" s="80"/>
      <c r="CA22" s="57"/>
      <c r="CB22" s="58" t="s">
        <v>281</v>
      </c>
      <c r="CC22" s="57"/>
      <c r="CD22" s="57"/>
      <c r="CE22" s="57" t="s">
        <v>231</v>
      </c>
    </row>
    <row r="23" spans="1:83" ht="36" customHeight="1" x14ac:dyDescent="0.25">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P23" s="65" t="str">
        <f t="shared" si="0"/>
        <v xml:space="preserve"> </v>
      </c>
      <c r="BS23" s="1" t="s">
        <v>326</v>
      </c>
      <c r="BV23" s="76"/>
      <c r="BX23" s="80" t="s">
        <v>364</v>
      </c>
      <c r="BY23" s="80"/>
      <c r="BZ23" s="80"/>
      <c r="CA23" s="57"/>
      <c r="CB23" s="58" t="s">
        <v>282</v>
      </c>
      <c r="CC23" s="57"/>
      <c r="CD23" s="57"/>
      <c r="CE23" s="57"/>
    </row>
    <row r="24" spans="1:83" ht="36" customHeight="1" x14ac:dyDescent="0.3">
      <c r="A24" s="63"/>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P24" s="65" t="str">
        <f t="shared" si="0"/>
        <v xml:space="preserve"> </v>
      </c>
      <c r="BS24" s="1" t="s">
        <v>327</v>
      </c>
      <c r="BV24" s="76"/>
      <c r="BX24" s="80" t="s">
        <v>365</v>
      </c>
      <c r="BY24" s="80"/>
      <c r="BZ24" s="80"/>
      <c r="CA24" s="57"/>
      <c r="CB24" s="58" t="s">
        <v>283</v>
      </c>
      <c r="CC24" s="57"/>
      <c r="CD24" s="57"/>
      <c r="CE24" s="57"/>
    </row>
    <row r="25" spans="1:83" ht="36" customHeight="1" x14ac:dyDescent="0.3">
      <c r="A25" s="63"/>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P25" s="65" t="str">
        <f t="shared" si="0"/>
        <v xml:space="preserve"> </v>
      </c>
      <c r="BV25" s="76"/>
      <c r="BX25" s="80" t="s">
        <v>366</v>
      </c>
      <c r="BY25" s="80"/>
      <c r="BZ25" s="80"/>
      <c r="CA25" s="57"/>
      <c r="CB25" s="58" t="s">
        <v>284</v>
      </c>
      <c r="CC25" s="57"/>
      <c r="CD25" s="57"/>
      <c r="CE25" s="57"/>
    </row>
    <row r="26" spans="1:83" ht="36" customHeight="1" x14ac:dyDescent="0.25">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P26" s="65" t="str">
        <f t="shared" si="0"/>
        <v xml:space="preserve"> </v>
      </c>
      <c r="BV26" s="76"/>
      <c r="BX26" s="80" t="s">
        <v>367</v>
      </c>
      <c r="BY26" s="80"/>
      <c r="BZ26" s="80"/>
      <c r="CA26" s="57"/>
      <c r="CB26" s="58" t="s">
        <v>285</v>
      </c>
      <c r="CC26" s="57"/>
      <c r="CD26" s="57"/>
      <c r="CE26" s="57"/>
    </row>
    <row r="27" spans="1:83" ht="36" customHeight="1" x14ac:dyDescent="0.3">
      <c r="A27" s="63"/>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P27" s="65" t="str">
        <f t="shared" si="0"/>
        <v xml:space="preserve"> </v>
      </c>
      <c r="BV27" s="76"/>
      <c r="BX27" s="80" t="s">
        <v>371</v>
      </c>
      <c r="BY27" s="80"/>
      <c r="BZ27" s="80"/>
      <c r="CA27" s="57"/>
      <c r="CB27" s="58" t="s">
        <v>286</v>
      </c>
      <c r="CC27" s="57"/>
      <c r="CD27" s="57"/>
      <c r="CE27" s="57"/>
    </row>
    <row r="28" spans="1:83" ht="36" customHeight="1" x14ac:dyDescent="0.3">
      <c r="A28" s="63"/>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P28" s="65" t="str">
        <f t="shared" si="0"/>
        <v xml:space="preserve"> </v>
      </c>
      <c r="BV28" s="76"/>
      <c r="BX28" s="80" t="s">
        <v>374</v>
      </c>
      <c r="BY28" s="80"/>
      <c r="BZ28" s="80"/>
      <c r="CA28" s="57"/>
      <c r="CB28" s="67" t="s">
        <v>287</v>
      </c>
      <c r="CC28" s="57"/>
      <c r="CD28" s="57"/>
      <c r="CE28" s="57"/>
    </row>
    <row r="29" spans="1:83" ht="36" customHeight="1" x14ac:dyDescent="0.25">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P29" s="65" t="str">
        <f t="shared" si="0"/>
        <v xml:space="preserve"> </v>
      </c>
      <c r="BV29" s="76"/>
      <c r="BX29" s="80" t="s">
        <v>377</v>
      </c>
      <c r="BY29" s="80"/>
      <c r="BZ29" s="80"/>
      <c r="CA29" s="57"/>
      <c r="CB29" s="58" t="s">
        <v>288</v>
      </c>
      <c r="CC29" s="57"/>
      <c r="CD29" s="57"/>
      <c r="CE29" s="57"/>
    </row>
    <row r="30" spans="1:83" ht="36" customHeight="1" x14ac:dyDescent="0.3">
      <c r="A30" s="63"/>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P30" s="65" t="str">
        <f t="shared" si="0"/>
        <v xml:space="preserve"> </v>
      </c>
      <c r="BV30" s="76"/>
      <c r="BX30" s="80" t="s">
        <v>360</v>
      </c>
      <c r="BY30" s="80"/>
      <c r="BZ30" s="80"/>
      <c r="CA30" s="57"/>
      <c r="CB30" s="58" t="s">
        <v>289</v>
      </c>
      <c r="CC30" s="57"/>
      <c r="CD30" s="57"/>
      <c r="CE30" s="57"/>
    </row>
    <row r="31" spans="1:83" ht="36" customHeight="1" x14ac:dyDescent="0.3">
      <c r="A31" s="63"/>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P31" s="65" t="str">
        <f t="shared" si="0"/>
        <v xml:space="preserve"> </v>
      </c>
      <c r="BV31" s="76"/>
      <c r="BX31" s="80" t="s">
        <v>379</v>
      </c>
      <c r="BY31" s="80"/>
      <c r="BZ31" s="80"/>
      <c r="CA31" s="57"/>
      <c r="CB31" s="58" t="s">
        <v>290</v>
      </c>
      <c r="CC31" s="57"/>
      <c r="CD31" s="57"/>
      <c r="CE31" s="57"/>
    </row>
    <row r="32" spans="1:83" ht="36" customHeight="1" x14ac:dyDescent="0.25">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P32" s="65" t="str">
        <f t="shared" si="0"/>
        <v xml:space="preserve"> </v>
      </c>
      <c r="BV32" s="76"/>
      <c r="BX32" s="80" t="s">
        <v>380</v>
      </c>
      <c r="BY32" s="80"/>
      <c r="BZ32" s="80"/>
      <c r="CA32" s="57"/>
      <c r="CB32" s="58" t="s">
        <v>291</v>
      </c>
      <c r="CC32" s="57"/>
      <c r="CD32" s="57"/>
      <c r="CE32" s="57"/>
    </row>
    <row r="33" spans="1:78" ht="36" customHeight="1" x14ac:dyDescent="0.3">
      <c r="A33" s="63"/>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P33" s="65" t="str">
        <f t="shared" si="0"/>
        <v xml:space="preserve"> </v>
      </c>
      <c r="BV33" s="76"/>
      <c r="BX33" s="80" t="s">
        <v>382</v>
      </c>
      <c r="BY33" s="80"/>
      <c r="BZ33" s="80"/>
    </row>
    <row r="34" spans="1:78" ht="36" customHeight="1" x14ac:dyDescent="0.3">
      <c r="A34" s="63"/>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P34" s="65" t="str">
        <f t="shared" si="0"/>
        <v xml:space="preserve"> </v>
      </c>
      <c r="BV34" s="76"/>
      <c r="BX34" s="80" t="s">
        <v>383</v>
      </c>
      <c r="BY34" s="80"/>
      <c r="BZ34" s="80"/>
    </row>
    <row r="35" spans="1:78" ht="36" customHeight="1" x14ac:dyDescent="0.25">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P35" s="65" t="str">
        <f t="shared" si="0"/>
        <v xml:space="preserve"> </v>
      </c>
      <c r="BV35" s="76"/>
      <c r="BX35" s="80" t="s">
        <v>381</v>
      </c>
      <c r="BY35" s="80"/>
      <c r="BZ35" s="80"/>
    </row>
    <row r="36" spans="1:78" ht="36" customHeight="1" x14ac:dyDescent="0.3">
      <c r="A36" s="63"/>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P36" s="65" t="str">
        <f t="shared" si="0"/>
        <v xml:space="preserve"> </v>
      </c>
      <c r="BV36" s="76"/>
      <c r="BX36" s="80" t="s">
        <v>384</v>
      </c>
      <c r="BY36" s="80"/>
      <c r="BZ36" s="80"/>
    </row>
    <row r="37" spans="1:78" ht="36" customHeight="1" x14ac:dyDescent="0.3">
      <c r="A37" s="63"/>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P37" s="65" t="str">
        <f t="shared" si="0"/>
        <v xml:space="preserve"> </v>
      </c>
      <c r="BV37" s="76"/>
      <c r="BX37" s="80" t="s">
        <v>369</v>
      </c>
      <c r="BY37" s="80"/>
      <c r="BZ37" s="80"/>
    </row>
    <row r="38" spans="1:78" ht="36" customHeight="1" x14ac:dyDescent="0.25">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P38" s="65" t="str">
        <f t="shared" si="0"/>
        <v xml:space="preserve"> </v>
      </c>
      <c r="BV38" s="76"/>
      <c r="BX38" s="80" t="s">
        <v>370</v>
      </c>
      <c r="BY38" s="80"/>
      <c r="BZ38" s="80"/>
    </row>
    <row r="39" spans="1:78" ht="36" customHeight="1" x14ac:dyDescent="0.3">
      <c r="A39" s="63"/>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P39" s="65" t="str">
        <f t="shared" si="0"/>
        <v xml:space="preserve"> </v>
      </c>
      <c r="BV39" s="76"/>
      <c r="BX39" s="80" t="s">
        <v>376</v>
      </c>
      <c r="BY39" s="80"/>
      <c r="BZ39" s="80"/>
    </row>
    <row r="40" spans="1:78" ht="36" customHeight="1" x14ac:dyDescent="0.3">
      <c r="A40" s="63"/>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P40" s="65" t="str">
        <f t="shared" si="0"/>
        <v xml:space="preserve"> </v>
      </c>
      <c r="BV40" s="76"/>
      <c r="BX40" s="80" t="s">
        <v>394</v>
      </c>
      <c r="BY40" s="80"/>
      <c r="BZ40" s="80"/>
    </row>
    <row r="41" spans="1:78" ht="36" customHeight="1" x14ac:dyDescent="0.25">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P41" s="65" t="str">
        <f t="shared" si="0"/>
        <v xml:space="preserve"> </v>
      </c>
      <c r="BV41" s="76"/>
      <c r="BX41" s="80" t="s">
        <v>398</v>
      </c>
      <c r="BY41" s="80"/>
      <c r="BZ41" s="80"/>
    </row>
    <row r="42" spans="1:78" ht="36" customHeight="1" x14ac:dyDescent="0.3">
      <c r="A42" s="63"/>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P42" s="65" t="str">
        <f t="shared" si="0"/>
        <v xml:space="preserve"> </v>
      </c>
      <c r="BV42" s="76"/>
      <c r="BX42" s="80" t="s">
        <v>359</v>
      </c>
      <c r="BY42" s="80"/>
      <c r="BZ42" s="80"/>
    </row>
    <row r="43" spans="1:78" ht="36" customHeight="1" x14ac:dyDescent="0.3">
      <c r="A43" s="63"/>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P43" s="65" t="str">
        <f t="shared" si="0"/>
        <v xml:space="preserve"> </v>
      </c>
      <c r="BV43" s="76"/>
      <c r="BX43" s="80" t="s">
        <v>388</v>
      </c>
      <c r="BY43" s="80"/>
      <c r="BZ43" s="80"/>
    </row>
    <row r="44" spans="1:78" ht="36" customHeight="1" x14ac:dyDescent="0.25">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P44" s="65" t="str">
        <f t="shared" si="0"/>
        <v xml:space="preserve"> </v>
      </c>
      <c r="BV44" s="76"/>
      <c r="BX44" s="80" t="s">
        <v>387</v>
      </c>
      <c r="BY44" s="80"/>
      <c r="BZ44" s="80"/>
    </row>
    <row r="45" spans="1:78" ht="36" customHeight="1" x14ac:dyDescent="0.3">
      <c r="A45" s="63"/>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P45" s="65" t="str">
        <f t="shared" si="0"/>
        <v xml:space="preserve"> </v>
      </c>
      <c r="BV45" s="76"/>
      <c r="BX45" s="80" t="s">
        <v>399</v>
      </c>
      <c r="BY45" s="80"/>
      <c r="BZ45" s="80"/>
    </row>
    <row r="46" spans="1:78" ht="36" customHeight="1" x14ac:dyDescent="0.3">
      <c r="A46" s="63"/>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P46" s="65" t="str">
        <f t="shared" si="0"/>
        <v xml:space="preserve"> </v>
      </c>
      <c r="BV46" s="76"/>
      <c r="BX46" s="80" t="s">
        <v>400</v>
      </c>
      <c r="BY46" s="80"/>
      <c r="BZ46" s="80"/>
    </row>
    <row r="47" spans="1:78" ht="36" customHeight="1" x14ac:dyDescent="0.25">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P47" s="65" t="str">
        <f t="shared" si="0"/>
        <v xml:space="preserve"> </v>
      </c>
      <c r="BV47" s="76"/>
      <c r="BX47" s="80" t="s">
        <v>397</v>
      </c>
      <c r="BY47" s="80"/>
      <c r="BZ47" s="80"/>
    </row>
    <row r="48" spans="1:78" ht="36" customHeight="1" x14ac:dyDescent="0.3">
      <c r="A48" s="63"/>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P48" s="65" t="str">
        <f t="shared" si="0"/>
        <v xml:space="preserve"> </v>
      </c>
      <c r="BV48" s="76"/>
      <c r="BX48" s="80" t="s">
        <v>389</v>
      </c>
      <c r="BY48" s="80"/>
      <c r="BZ48" s="80"/>
    </row>
    <row r="49" spans="1:78" ht="36" customHeight="1" x14ac:dyDescent="0.3">
      <c r="A49" s="63"/>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P49" s="65" t="str">
        <f t="shared" si="0"/>
        <v xml:space="preserve"> </v>
      </c>
      <c r="BV49" s="76"/>
      <c r="BX49" s="80" t="s">
        <v>368</v>
      </c>
      <c r="BY49" s="80"/>
      <c r="BZ49" s="80"/>
    </row>
    <row r="50" spans="1:78" ht="36" customHeight="1" x14ac:dyDescent="0.25">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P50" s="65" t="str">
        <f t="shared" si="0"/>
        <v xml:space="preserve"> </v>
      </c>
      <c r="BV50" s="76"/>
      <c r="BX50" s="80" t="s">
        <v>435</v>
      </c>
      <c r="BY50" s="80"/>
      <c r="BZ50" s="80"/>
    </row>
    <row r="51" spans="1:78" ht="36" customHeight="1" x14ac:dyDescent="0.3">
      <c r="A51" s="63"/>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P51" s="65" t="str">
        <f t="shared" si="0"/>
        <v xml:space="preserve"> </v>
      </c>
      <c r="BV51" s="76"/>
      <c r="BX51" s="80" t="s">
        <v>390</v>
      </c>
      <c r="BY51" s="80"/>
      <c r="BZ51" s="80"/>
    </row>
    <row r="52" spans="1:78" ht="36" customHeight="1" x14ac:dyDescent="0.3">
      <c r="A52" s="63"/>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P52" s="65" t="str">
        <f t="shared" si="0"/>
        <v xml:space="preserve"> </v>
      </c>
      <c r="BV52" s="76"/>
      <c r="BX52" s="80" t="s">
        <v>391</v>
      </c>
      <c r="BY52" s="80"/>
      <c r="BZ52" s="80"/>
    </row>
    <row r="53" spans="1:78" ht="36" customHeight="1" x14ac:dyDescent="0.25">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P53" s="65" t="str">
        <f t="shared" si="0"/>
        <v xml:space="preserve"> </v>
      </c>
      <c r="BV53" s="76"/>
      <c r="BX53" s="80" t="s">
        <v>372</v>
      </c>
      <c r="BY53" s="80"/>
      <c r="BZ53" s="80"/>
    </row>
    <row r="54" spans="1:78" ht="36" customHeight="1" x14ac:dyDescent="0.3">
      <c r="A54" s="63"/>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P54" s="65" t="str">
        <f t="shared" si="0"/>
        <v xml:space="preserve"> </v>
      </c>
      <c r="BV54" s="76"/>
      <c r="BX54" s="80" t="s">
        <v>392</v>
      </c>
      <c r="BY54" s="80"/>
      <c r="BZ54" s="80"/>
    </row>
    <row r="55" spans="1:78" ht="36" customHeight="1" x14ac:dyDescent="0.3">
      <c r="A55" s="63"/>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P55" s="65" t="str">
        <f t="shared" si="0"/>
        <v xml:space="preserve"> </v>
      </c>
      <c r="BV55" s="76"/>
      <c r="BX55" s="80" t="s">
        <v>393</v>
      </c>
      <c r="BY55" s="80"/>
      <c r="BZ55" s="80"/>
    </row>
    <row r="56" spans="1:78" ht="36" customHeight="1" x14ac:dyDescent="0.25">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P56" s="65" t="str">
        <f t="shared" si="0"/>
        <v xml:space="preserve"> </v>
      </c>
      <c r="BV56" s="76"/>
      <c r="BX56" s="80" t="s">
        <v>401</v>
      </c>
      <c r="BY56" s="80"/>
      <c r="BZ56" s="80"/>
    </row>
    <row r="57" spans="1:78" ht="36" customHeight="1" x14ac:dyDescent="0.3">
      <c r="A57" s="63"/>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P57" s="65" t="str">
        <f t="shared" si="0"/>
        <v xml:space="preserve"> </v>
      </c>
      <c r="BV57" s="76"/>
      <c r="BX57" s="80" t="s">
        <v>395</v>
      </c>
      <c r="BY57" s="80"/>
      <c r="BZ57" s="80"/>
    </row>
    <row r="58" spans="1:78" ht="36" customHeight="1" x14ac:dyDescent="0.3">
      <c r="A58" s="63"/>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P58" s="65" t="str">
        <f t="shared" si="0"/>
        <v xml:space="preserve"> </v>
      </c>
      <c r="BV58" s="76"/>
      <c r="BX58" s="80" t="s">
        <v>402</v>
      </c>
      <c r="BY58" s="80"/>
      <c r="BZ58" s="80"/>
    </row>
    <row r="59" spans="1:78" ht="36" customHeight="1" x14ac:dyDescent="0.25">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P59" s="65" t="str">
        <f t="shared" si="0"/>
        <v xml:space="preserve"> </v>
      </c>
      <c r="BV59" s="76"/>
      <c r="BX59" s="80" t="s">
        <v>403</v>
      </c>
      <c r="BY59" s="80"/>
      <c r="BZ59" s="80"/>
    </row>
    <row r="60" spans="1:78" ht="36" customHeight="1" x14ac:dyDescent="0.3">
      <c r="A60" s="63"/>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P60" s="65" t="str">
        <f t="shared" si="0"/>
        <v xml:space="preserve"> </v>
      </c>
      <c r="BV60" s="76"/>
      <c r="BX60" s="80" t="s">
        <v>404</v>
      </c>
      <c r="BY60" s="80"/>
      <c r="BZ60" s="80"/>
    </row>
    <row r="61" spans="1:78" ht="36" customHeight="1" x14ac:dyDescent="0.3">
      <c r="A61" s="63"/>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P61" s="65" t="str">
        <f t="shared" si="0"/>
        <v xml:space="preserve"> </v>
      </c>
      <c r="BV61" s="76"/>
      <c r="BX61" s="80" t="s">
        <v>429</v>
      </c>
      <c r="BY61" s="80"/>
      <c r="BZ61" s="80"/>
    </row>
    <row r="62" spans="1:78" ht="36" customHeight="1" x14ac:dyDescent="0.25">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P62" s="65" t="str">
        <f t="shared" si="0"/>
        <v xml:space="preserve"> </v>
      </c>
      <c r="BV62" s="76"/>
      <c r="BX62" s="80" t="s">
        <v>428</v>
      </c>
      <c r="BY62" s="80"/>
      <c r="BZ62" s="80"/>
    </row>
    <row r="63" spans="1:78" ht="36" customHeight="1" x14ac:dyDescent="0.3">
      <c r="A63" s="63"/>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P63" s="65" t="str">
        <f t="shared" si="0"/>
        <v xml:space="preserve"> </v>
      </c>
      <c r="BV63" s="76"/>
      <c r="BX63" s="80" t="s">
        <v>385</v>
      </c>
      <c r="BY63" s="80"/>
      <c r="BZ63" s="80"/>
    </row>
    <row r="64" spans="1:78" ht="36" customHeight="1" x14ac:dyDescent="0.3">
      <c r="A64" s="63"/>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P64" s="65" t="str">
        <f t="shared" si="0"/>
        <v xml:space="preserve"> </v>
      </c>
      <c r="BV64" s="76"/>
      <c r="BX64" s="80" t="s">
        <v>407</v>
      </c>
      <c r="BY64" s="80"/>
      <c r="BZ64" s="80"/>
    </row>
    <row r="65" spans="1:78" ht="36" customHeight="1" x14ac:dyDescent="0.25">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P65" s="65" t="str">
        <f t="shared" si="0"/>
        <v xml:space="preserve"> </v>
      </c>
      <c r="BV65" s="76"/>
      <c r="BX65" s="80" t="s">
        <v>405</v>
      </c>
      <c r="BY65" s="80"/>
      <c r="BZ65" s="80"/>
    </row>
    <row r="66" spans="1:78" ht="36" customHeight="1" x14ac:dyDescent="0.3">
      <c r="A66" s="63"/>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c r="AP66" s="65" t="str">
        <f t="shared" si="0"/>
        <v xml:space="preserve"> </v>
      </c>
      <c r="BV66" s="76"/>
      <c r="BX66" s="80" t="s">
        <v>396</v>
      </c>
      <c r="BY66" s="80"/>
      <c r="BZ66" s="80"/>
    </row>
    <row r="67" spans="1:78" ht="36" customHeight="1" x14ac:dyDescent="0.3">
      <c r="A67" s="63"/>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P67" s="65" t="str">
        <f t="shared" si="0"/>
        <v xml:space="preserve"> </v>
      </c>
      <c r="BV67" s="76"/>
      <c r="BX67" s="80" t="s">
        <v>406</v>
      </c>
      <c r="BY67" s="80"/>
      <c r="BZ67" s="80"/>
    </row>
    <row r="68" spans="1:78" ht="36" customHeight="1" x14ac:dyDescent="0.25">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P68" s="65" t="str">
        <f t="shared" si="0"/>
        <v xml:space="preserve"> </v>
      </c>
      <c r="BV68" s="76"/>
      <c r="BX68" s="80" t="s">
        <v>408</v>
      </c>
      <c r="BY68" s="80"/>
      <c r="BZ68" s="80"/>
    </row>
    <row r="69" spans="1:78" ht="36" customHeight="1" x14ac:dyDescent="0.3">
      <c r="A69" s="63"/>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P69" s="65" t="str">
        <f t="shared" si="0"/>
        <v xml:space="preserve"> </v>
      </c>
      <c r="BV69" s="76"/>
      <c r="BX69" s="80" t="s">
        <v>409</v>
      </c>
      <c r="BY69" s="80"/>
      <c r="BZ69" s="80"/>
    </row>
    <row r="70" spans="1:78" ht="36" customHeight="1" x14ac:dyDescent="0.3">
      <c r="A70" s="63"/>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P70" s="65" t="str">
        <f t="shared" si="0"/>
        <v xml:space="preserve"> </v>
      </c>
      <c r="BV70" s="76"/>
      <c r="BX70" s="80" t="s">
        <v>410</v>
      </c>
      <c r="BY70" s="80"/>
      <c r="BZ70" s="80"/>
    </row>
    <row r="71" spans="1:78" ht="36" customHeight="1" x14ac:dyDescent="0.25">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P71" s="65" t="str">
        <f t="shared" si="0"/>
        <v xml:space="preserve"> </v>
      </c>
      <c r="BV71" s="76"/>
      <c r="BX71" s="80" t="s">
        <v>411</v>
      </c>
      <c r="BY71" s="80"/>
      <c r="BZ71" s="80"/>
    </row>
    <row r="72" spans="1:78" ht="36" customHeight="1" x14ac:dyDescent="0.3">
      <c r="A72" s="63"/>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P72" s="65" t="str">
        <f t="shared" si="0"/>
        <v xml:space="preserve"> </v>
      </c>
      <c r="BV72" s="76"/>
      <c r="BX72" s="80" t="s">
        <v>412</v>
      </c>
      <c r="BY72" s="80"/>
      <c r="BZ72" s="80"/>
    </row>
    <row r="73" spans="1:78" ht="36" customHeight="1" x14ac:dyDescent="0.3">
      <c r="A73" s="63"/>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P73" s="65" t="str">
        <f t="shared" si="0"/>
        <v xml:space="preserve"> </v>
      </c>
      <c r="BV73" s="76"/>
      <c r="BX73" s="80" t="s">
        <v>413</v>
      </c>
      <c r="BY73" s="80"/>
      <c r="BZ73" s="80"/>
    </row>
    <row r="74" spans="1:78" ht="36" customHeight="1" x14ac:dyDescent="0.25">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P74" s="65" t="str">
        <f t="shared" si="0"/>
        <v xml:space="preserve"> </v>
      </c>
      <c r="BV74" s="76"/>
      <c r="BX74" s="80" t="s">
        <v>414</v>
      </c>
      <c r="BY74" s="80"/>
      <c r="BZ74" s="80"/>
    </row>
    <row r="75" spans="1:78" ht="36" customHeight="1" x14ac:dyDescent="0.3">
      <c r="A75" s="63"/>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c r="AP75" s="65" t="str">
        <f t="shared" ref="AP75:AP138" si="1">+IF(AE75=0," ",IF(AE75&lt;=5,"Primera infancia",IF(AE75&lt;=11,"Infancia",IF(AE75&lt;=17,"Adolescencia",IF(AE75&lt;=28,"Jóvenes",IF(AE75&lt;=60,"Adultos",IF(AE75&lt;=120,"Mayores","")))))))</f>
        <v xml:space="preserve"> </v>
      </c>
      <c r="BV75" s="76"/>
      <c r="BX75" s="80" t="s">
        <v>415</v>
      </c>
      <c r="BY75" s="80"/>
      <c r="BZ75" s="80"/>
    </row>
    <row r="76" spans="1:78" ht="36" customHeight="1" x14ac:dyDescent="0.3">
      <c r="A76" s="63"/>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P76" s="65" t="str">
        <f t="shared" si="1"/>
        <v xml:space="preserve"> </v>
      </c>
      <c r="BV76" s="76"/>
      <c r="BX76" s="80" t="s">
        <v>416</v>
      </c>
      <c r="BY76" s="80"/>
      <c r="BZ76" s="80"/>
    </row>
    <row r="77" spans="1:78" ht="36" customHeight="1" x14ac:dyDescent="0.25">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P77" s="65" t="str">
        <f t="shared" si="1"/>
        <v xml:space="preserve"> </v>
      </c>
      <c r="BV77" s="76"/>
      <c r="BX77" s="80" t="s">
        <v>417</v>
      </c>
      <c r="BY77" s="80"/>
      <c r="BZ77" s="80"/>
    </row>
    <row r="78" spans="1:78" ht="36" customHeight="1" x14ac:dyDescent="0.3">
      <c r="A78" s="63"/>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P78" s="65" t="str">
        <f t="shared" si="1"/>
        <v xml:space="preserve"> </v>
      </c>
      <c r="BV78" s="76"/>
      <c r="BX78" s="80" t="s">
        <v>418</v>
      </c>
      <c r="BY78" s="80"/>
      <c r="BZ78" s="80"/>
    </row>
    <row r="79" spans="1:78" ht="36" customHeight="1" x14ac:dyDescent="0.3">
      <c r="A79" s="63"/>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P79" s="65" t="str">
        <f t="shared" si="1"/>
        <v xml:space="preserve"> </v>
      </c>
      <c r="BV79" s="76"/>
      <c r="BX79" s="80" t="s">
        <v>419</v>
      </c>
      <c r="BY79" s="80"/>
      <c r="BZ79" s="80"/>
    </row>
    <row r="80" spans="1:78" ht="36" customHeight="1" x14ac:dyDescent="0.25">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P80" s="65" t="str">
        <f t="shared" si="1"/>
        <v xml:space="preserve"> </v>
      </c>
      <c r="BV80" s="76"/>
      <c r="BX80" s="80" t="s">
        <v>420</v>
      </c>
      <c r="BY80" s="80"/>
      <c r="BZ80" s="80"/>
    </row>
    <row r="81" spans="1:78" ht="36" customHeight="1" x14ac:dyDescent="0.3">
      <c r="A81" s="63"/>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P81" s="65" t="str">
        <f t="shared" si="1"/>
        <v xml:space="preserve"> </v>
      </c>
      <c r="BV81" s="76"/>
      <c r="BX81" s="80" t="s">
        <v>421</v>
      </c>
      <c r="BY81" s="80"/>
      <c r="BZ81" s="80"/>
    </row>
    <row r="82" spans="1:78" ht="36" customHeight="1" x14ac:dyDescent="0.3">
      <c r="A82" s="63"/>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P82" s="65" t="str">
        <f t="shared" si="1"/>
        <v xml:space="preserve"> </v>
      </c>
      <c r="BV82" s="76"/>
      <c r="BX82" s="80" t="s">
        <v>436</v>
      </c>
      <c r="BY82" s="80"/>
      <c r="BZ82" s="80"/>
    </row>
    <row r="83" spans="1:78" ht="36" customHeight="1" x14ac:dyDescent="0.25">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P83" s="65" t="str">
        <f t="shared" si="1"/>
        <v xml:space="preserve"> </v>
      </c>
      <c r="BV83" s="76"/>
      <c r="BX83" s="80" t="s">
        <v>422</v>
      </c>
      <c r="BY83" s="80"/>
      <c r="BZ83" s="80"/>
    </row>
    <row r="84" spans="1:78" ht="36" customHeight="1" x14ac:dyDescent="0.3">
      <c r="A84" s="63"/>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P84" s="65" t="str">
        <f t="shared" si="1"/>
        <v xml:space="preserve"> </v>
      </c>
      <c r="BV84" s="76"/>
      <c r="BX84" s="80" t="s">
        <v>423</v>
      </c>
      <c r="BY84" s="80"/>
      <c r="BZ84" s="80"/>
    </row>
    <row r="85" spans="1:78" ht="36" customHeight="1" x14ac:dyDescent="0.3">
      <c r="A85" s="63"/>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P85" s="65" t="str">
        <f t="shared" si="1"/>
        <v xml:space="preserve"> </v>
      </c>
      <c r="BV85" s="76"/>
      <c r="BX85" s="80" t="s">
        <v>425</v>
      </c>
      <c r="BY85" s="80"/>
      <c r="BZ85" s="80"/>
    </row>
    <row r="86" spans="1:78" ht="36" customHeight="1" x14ac:dyDescent="0.25">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P86" s="65" t="str">
        <f t="shared" si="1"/>
        <v xml:space="preserve"> </v>
      </c>
      <c r="BV86" s="76"/>
      <c r="BX86" s="80" t="s">
        <v>424</v>
      </c>
      <c r="BY86" s="80"/>
      <c r="BZ86" s="80"/>
    </row>
    <row r="87" spans="1:78" ht="36" customHeight="1" x14ac:dyDescent="0.3">
      <c r="A87" s="63"/>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P87" s="65" t="str">
        <f t="shared" si="1"/>
        <v xml:space="preserve"> </v>
      </c>
      <c r="BV87" s="76"/>
      <c r="BX87" s="80" t="s">
        <v>375</v>
      </c>
      <c r="BY87" s="80"/>
      <c r="BZ87" s="80"/>
    </row>
    <row r="88" spans="1:78" ht="36" customHeight="1" x14ac:dyDescent="0.3">
      <c r="A88" s="63"/>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P88" s="65" t="str">
        <f t="shared" si="1"/>
        <v xml:space="preserve"> </v>
      </c>
      <c r="BV88" s="76"/>
      <c r="BX88" s="80" t="s">
        <v>386</v>
      </c>
      <c r="BY88" s="80"/>
      <c r="BZ88" s="80"/>
    </row>
    <row r="89" spans="1:78" ht="36" customHeight="1" x14ac:dyDescent="0.25">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P89" s="65" t="str">
        <f t="shared" si="1"/>
        <v xml:space="preserve"> </v>
      </c>
      <c r="BV89" s="76"/>
      <c r="BX89" s="80" t="s">
        <v>427</v>
      </c>
      <c r="BY89" s="80"/>
      <c r="BZ89" s="80"/>
    </row>
    <row r="90" spans="1:78" ht="36" customHeight="1" x14ac:dyDescent="0.3">
      <c r="A90" s="63"/>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P90" s="65" t="str">
        <f t="shared" si="1"/>
        <v xml:space="preserve"> </v>
      </c>
      <c r="BV90" s="76"/>
      <c r="BX90" s="80" t="s">
        <v>355</v>
      </c>
      <c r="BY90" s="80"/>
      <c r="BZ90" s="80"/>
    </row>
    <row r="91" spans="1:78" ht="36" customHeight="1" x14ac:dyDescent="0.3">
      <c r="A91" s="63"/>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P91" s="65" t="str">
        <f t="shared" si="1"/>
        <v xml:space="preserve"> </v>
      </c>
      <c r="BV91" s="76"/>
      <c r="BX91" s="80" t="s">
        <v>426</v>
      </c>
      <c r="BY91" s="80"/>
      <c r="BZ91" s="80"/>
    </row>
    <row r="92" spans="1:78" ht="36" customHeight="1" x14ac:dyDescent="0.25">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P92" s="65" t="str">
        <f t="shared" si="1"/>
        <v xml:space="preserve"> </v>
      </c>
      <c r="BV92" s="76"/>
      <c r="BX92" s="80" t="s">
        <v>430</v>
      </c>
      <c r="BY92" s="80"/>
      <c r="BZ92" s="80"/>
    </row>
    <row r="93" spans="1:78" ht="36" customHeight="1" x14ac:dyDescent="0.3">
      <c r="A93" s="63"/>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P93" s="65" t="str">
        <f t="shared" si="1"/>
        <v xml:space="preserve"> </v>
      </c>
      <c r="BV93" s="76"/>
      <c r="BX93" s="80" t="s">
        <v>356</v>
      </c>
      <c r="BY93" s="80"/>
      <c r="BZ93" s="80"/>
    </row>
    <row r="94" spans="1:78" ht="36" customHeight="1" x14ac:dyDescent="0.3">
      <c r="A94" s="63"/>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P94" s="65" t="str">
        <f t="shared" si="1"/>
        <v xml:space="preserve"> </v>
      </c>
      <c r="BV94" s="76"/>
      <c r="BX94" s="80" t="s">
        <v>357</v>
      </c>
      <c r="BY94" s="80"/>
      <c r="BZ94" s="80"/>
    </row>
    <row r="95" spans="1:78" ht="36" customHeight="1" x14ac:dyDescent="0.25">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P95" s="65" t="str">
        <f t="shared" si="1"/>
        <v xml:space="preserve"> </v>
      </c>
      <c r="BV95" s="76"/>
      <c r="BX95" s="80" t="s">
        <v>431</v>
      </c>
      <c r="BY95" s="80"/>
      <c r="BZ95" s="80"/>
    </row>
    <row r="96" spans="1:78" ht="36" customHeight="1" x14ac:dyDescent="0.3">
      <c r="A96" s="63"/>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P96" s="65" t="str">
        <f t="shared" si="1"/>
        <v xml:space="preserve"> </v>
      </c>
      <c r="BV96" s="76"/>
      <c r="BX96" s="80" t="s">
        <v>437</v>
      </c>
      <c r="BY96" s="80"/>
      <c r="BZ96" s="80"/>
    </row>
    <row r="97" spans="1:78" ht="36" customHeight="1" x14ac:dyDescent="0.3">
      <c r="A97" s="63"/>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P97" s="65" t="str">
        <f t="shared" si="1"/>
        <v xml:space="preserve"> </v>
      </c>
      <c r="BV97" s="76"/>
      <c r="BX97" s="80" t="s">
        <v>433</v>
      </c>
      <c r="BY97" s="80"/>
      <c r="BZ97" s="80"/>
    </row>
    <row r="98" spans="1:78" ht="36" customHeight="1" x14ac:dyDescent="0.25">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P98" s="65" t="str">
        <f t="shared" si="1"/>
        <v xml:space="preserve"> </v>
      </c>
      <c r="BV98" s="76"/>
      <c r="BX98" s="80" t="s">
        <v>432</v>
      </c>
      <c r="BY98" s="80"/>
      <c r="BZ98" s="80"/>
    </row>
    <row r="99" spans="1:78" ht="36" customHeight="1" x14ac:dyDescent="0.3">
      <c r="A99" s="63"/>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P99" s="65" t="str">
        <f t="shared" si="1"/>
        <v xml:space="preserve"> </v>
      </c>
      <c r="BV99" s="76"/>
      <c r="BX99" s="80" t="s">
        <v>434</v>
      </c>
      <c r="BY99" s="80"/>
      <c r="BZ99" s="80"/>
    </row>
    <row r="100" spans="1:78" ht="36" customHeight="1" x14ac:dyDescent="0.3">
      <c r="A100" s="63"/>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P100" s="65" t="str">
        <f t="shared" si="1"/>
        <v xml:space="preserve"> </v>
      </c>
      <c r="BV100" s="76"/>
      <c r="BX100" s="79" t="s">
        <v>438</v>
      </c>
      <c r="BY100" s="79"/>
      <c r="BZ100" s="79"/>
    </row>
    <row r="101" spans="1:78" ht="36" customHeight="1" x14ac:dyDescent="0.25">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P101" s="65" t="str">
        <f t="shared" si="1"/>
        <v xml:space="preserve"> </v>
      </c>
      <c r="BV101" s="76"/>
      <c r="BX101" s="80" t="s">
        <v>439</v>
      </c>
      <c r="BY101" s="80"/>
      <c r="BZ101" s="80"/>
    </row>
    <row r="102" spans="1:78" ht="36" customHeight="1" x14ac:dyDescent="0.3">
      <c r="A102" s="63"/>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P102" s="65" t="str">
        <f t="shared" si="1"/>
        <v xml:space="preserve"> </v>
      </c>
      <c r="BV102" s="76"/>
      <c r="BX102" s="80" t="s">
        <v>441</v>
      </c>
      <c r="BY102" s="80"/>
      <c r="BZ102" s="80"/>
    </row>
    <row r="103" spans="1:78" ht="36" customHeight="1" x14ac:dyDescent="0.3">
      <c r="A103" s="63"/>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P103" s="65" t="str">
        <f t="shared" si="1"/>
        <v xml:space="preserve"> </v>
      </c>
      <c r="BV103" s="76"/>
      <c r="BX103" s="80" t="s">
        <v>440</v>
      </c>
      <c r="BY103" s="80"/>
      <c r="BZ103" s="80"/>
    </row>
    <row r="104" spans="1:78" ht="36" customHeight="1" x14ac:dyDescent="0.25">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P104" s="65" t="str">
        <f t="shared" si="1"/>
        <v xml:space="preserve"> </v>
      </c>
      <c r="BV104" s="76"/>
      <c r="BX104" s="80" t="s">
        <v>442</v>
      </c>
      <c r="BY104" s="80"/>
      <c r="BZ104" s="80"/>
    </row>
    <row r="105" spans="1:78" ht="36" customHeight="1" x14ac:dyDescent="0.3">
      <c r="A105" s="63"/>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P105" s="65" t="str">
        <f t="shared" si="1"/>
        <v xml:space="preserve"> </v>
      </c>
      <c r="BV105" s="76"/>
      <c r="BX105" s="80" t="s">
        <v>443</v>
      </c>
      <c r="BY105" s="80"/>
      <c r="BZ105" s="80"/>
    </row>
    <row r="106" spans="1:78" ht="36" customHeight="1" x14ac:dyDescent="0.3">
      <c r="A106" s="63"/>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P106" s="65" t="str">
        <f t="shared" si="1"/>
        <v xml:space="preserve"> </v>
      </c>
      <c r="BV106" s="76"/>
      <c r="BX106" s="80" t="s">
        <v>444</v>
      </c>
      <c r="BY106" s="80"/>
      <c r="BZ106" s="80"/>
    </row>
    <row r="107" spans="1:78" ht="36" customHeight="1" x14ac:dyDescent="0.25">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P107" s="65" t="str">
        <f t="shared" si="1"/>
        <v xml:space="preserve"> </v>
      </c>
      <c r="BV107" s="76"/>
      <c r="BX107" s="80" t="s">
        <v>445</v>
      </c>
      <c r="BY107" s="80"/>
      <c r="BZ107" s="80"/>
    </row>
    <row r="108" spans="1:78" ht="36" customHeight="1" x14ac:dyDescent="0.3">
      <c r="A108" s="63"/>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P108" s="65" t="str">
        <f t="shared" si="1"/>
        <v xml:space="preserve"> </v>
      </c>
      <c r="BV108" s="76"/>
      <c r="BX108" s="80" t="s">
        <v>446</v>
      </c>
      <c r="BY108" s="80"/>
      <c r="BZ108" s="80"/>
    </row>
    <row r="109" spans="1:78" ht="36" customHeight="1" x14ac:dyDescent="0.3">
      <c r="A109" s="63"/>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P109" s="65" t="str">
        <f t="shared" si="1"/>
        <v xml:space="preserve"> </v>
      </c>
      <c r="BV109" s="76"/>
      <c r="BX109" s="80" t="s">
        <v>447</v>
      </c>
      <c r="BY109" s="80"/>
      <c r="BZ109" s="80"/>
    </row>
    <row r="110" spans="1:78" ht="36" customHeight="1" x14ac:dyDescent="0.25">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P110" s="65" t="str">
        <f t="shared" si="1"/>
        <v xml:space="preserve"> </v>
      </c>
      <c r="BV110" s="76"/>
      <c r="BX110" s="80" t="s">
        <v>448</v>
      </c>
      <c r="BY110" s="80"/>
      <c r="BZ110" s="80"/>
    </row>
    <row r="111" spans="1:78" ht="36" customHeight="1" x14ac:dyDescent="0.3">
      <c r="A111" s="63"/>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P111" s="65" t="str">
        <f t="shared" si="1"/>
        <v xml:space="preserve"> </v>
      </c>
      <c r="BV111" s="76"/>
      <c r="BX111" s="80" t="s">
        <v>449</v>
      </c>
      <c r="BY111" s="80"/>
      <c r="BZ111" s="80"/>
    </row>
    <row r="112" spans="1:78" ht="36" customHeight="1" x14ac:dyDescent="0.3">
      <c r="A112" s="63"/>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P112" s="65" t="str">
        <f t="shared" si="1"/>
        <v xml:space="preserve"> </v>
      </c>
      <c r="BV112" s="76"/>
    </row>
    <row r="113" spans="1:74" ht="36" customHeight="1" x14ac:dyDescent="0.25">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P113" s="65" t="str">
        <f t="shared" si="1"/>
        <v xml:space="preserve"> </v>
      </c>
      <c r="BV113" s="76"/>
    </row>
    <row r="114" spans="1:74" ht="36" customHeight="1" x14ac:dyDescent="0.3">
      <c r="A114" s="63"/>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P114" s="65" t="str">
        <f t="shared" si="1"/>
        <v xml:space="preserve"> </v>
      </c>
      <c r="BV114" s="76"/>
    </row>
    <row r="115" spans="1:74" ht="36" customHeight="1" x14ac:dyDescent="0.3">
      <c r="A115" s="63"/>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P115" s="65" t="str">
        <f t="shared" si="1"/>
        <v xml:space="preserve"> </v>
      </c>
      <c r="BV115" s="76"/>
    </row>
    <row r="116" spans="1:74" ht="36" customHeight="1" x14ac:dyDescent="0.25">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P116" s="65" t="str">
        <f t="shared" si="1"/>
        <v xml:space="preserve"> </v>
      </c>
      <c r="BV116" s="76"/>
    </row>
    <row r="117" spans="1:74" ht="36" customHeight="1" x14ac:dyDescent="0.3">
      <c r="A117" s="63"/>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P117" s="65" t="str">
        <f t="shared" si="1"/>
        <v xml:space="preserve"> </v>
      </c>
      <c r="BV117" s="76"/>
    </row>
    <row r="118" spans="1:74" ht="36" customHeight="1" x14ac:dyDescent="0.3">
      <c r="A118" s="63"/>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P118" s="65" t="str">
        <f t="shared" si="1"/>
        <v xml:space="preserve"> </v>
      </c>
      <c r="BV118" s="76"/>
    </row>
    <row r="119" spans="1:74" ht="36" customHeight="1" x14ac:dyDescent="0.25">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P119" s="65" t="str">
        <f t="shared" si="1"/>
        <v xml:space="preserve"> </v>
      </c>
      <c r="BV119" s="76"/>
    </row>
    <row r="120" spans="1:74" ht="36" customHeight="1" x14ac:dyDescent="0.3">
      <c r="A120" s="63"/>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P120" s="65" t="str">
        <f t="shared" si="1"/>
        <v xml:space="preserve"> </v>
      </c>
      <c r="BV120" s="76"/>
    </row>
    <row r="121" spans="1:74" ht="36" customHeight="1" x14ac:dyDescent="0.3">
      <c r="A121" s="63"/>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P121" s="65" t="str">
        <f t="shared" si="1"/>
        <v xml:space="preserve"> </v>
      </c>
      <c r="BV121" s="76"/>
    </row>
    <row r="122" spans="1:74" ht="36" customHeight="1" x14ac:dyDescent="0.25">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P122" s="65" t="str">
        <f t="shared" si="1"/>
        <v xml:space="preserve"> </v>
      </c>
      <c r="BV122" s="76"/>
    </row>
    <row r="123" spans="1:74" ht="36" customHeight="1" x14ac:dyDescent="0.3">
      <c r="A123" s="63"/>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P123" s="65" t="str">
        <f t="shared" si="1"/>
        <v xml:space="preserve"> </v>
      </c>
      <c r="BV123" s="76"/>
    </row>
    <row r="124" spans="1:74" ht="36" customHeight="1" x14ac:dyDescent="0.3">
      <c r="A124" s="63"/>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P124" s="65" t="str">
        <f t="shared" si="1"/>
        <v xml:space="preserve"> </v>
      </c>
      <c r="BV124" s="76"/>
    </row>
    <row r="125" spans="1:74" ht="36" customHeight="1" x14ac:dyDescent="0.25">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P125" s="65" t="str">
        <f t="shared" si="1"/>
        <v xml:space="preserve"> </v>
      </c>
      <c r="BV125" s="76"/>
    </row>
    <row r="126" spans="1:74" ht="36" customHeight="1" x14ac:dyDescent="0.3">
      <c r="A126" s="63"/>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P126" s="65" t="str">
        <f t="shared" si="1"/>
        <v xml:space="preserve"> </v>
      </c>
      <c r="BV126" s="76"/>
    </row>
    <row r="127" spans="1:74" ht="36" customHeight="1" x14ac:dyDescent="0.3">
      <c r="A127" s="63"/>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c r="AP127" s="65" t="str">
        <f t="shared" si="1"/>
        <v xml:space="preserve"> </v>
      </c>
      <c r="BV127" s="76"/>
    </row>
    <row r="128" spans="1:74" ht="36" customHeight="1" x14ac:dyDescent="0.25">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P128" s="65" t="str">
        <f t="shared" si="1"/>
        <v xml:space="preserve"> </v>
      </c>
      <c r="BV128" s="76"/>
    </row>
    <row r="129" spans="1:74" ht="36" customHeight="1" x14ac:dyDescent="0.3">
      <c r="A129" s="63"/>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P129" s="65" t="str">
        <f t="shared" si="1"/>
        <v xml:space="preserve"> </v>
      </c>
      <c r="BV129" s="76"/>
    </row>
    <row r="130" spans="1:74" ht="36" customHeight="1" x14ac:dyDescent="0.3">
      <c r="A130" s="63"/>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P130" s="65" t="str">
        <f t="shared" si="1"/>
        <v xml:space="preserve"> </v>
      </c>
      <c r="BV130" s="76"/>
    </row>
    <row r="131" spans="1:74" ht="36" customHeight="1" x14ac:dyDescent="0.25">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P131" s="65" t="str">
        <f t="shared" si="1"/>
        <v xml:space="preserve"> </v>
      </c>
      <c r="BV131" s="76"/>
    </row>
    <row r="132" spans="1:74" ht="36" customHeight="1" x14ac:dyDescent="0.3">
      <c r="A132" s="63"/>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P132" s="65" t="str">
        <f t="shared" si="1"/>
        <v xml:space="preserve"> </v>
      </c>
      <c r="BV132" s="76"/>
    </row>
    <row r="133" spans="1:74" ht="36" customHeight="1" x14ac:dyDescent="0.3">
      <c r="A133" s="63"/>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P133" s="65" t="str">
        <f t="shared" si="1"/>
        <v xml:space="preserve"> </v>
      </c>
      <c r="BV133" s="76"/>
    </row>
    <row r="134" spans="1:74" ht="36" customHeight="1" x14ac:dyDescent="0.25">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P134" s="65" t="str">
        <f t="shared" si="1"/>
        <v xml:space="preserve"> </v>
      </c>
      <c r="BV134" s="76"/>
    </row>
    <row r="135" spans="1:74" ht="36" customHeight="1" x14ac:dyDescent="0.3">
      <c r="A135" s="63"/>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P135" s="65" t="str">
        <f t="shared" si="1"/>
        <v xml:space="preserve"> </v>
      </c>
      <c r="BV135" s="76"/>
    </row>
    <row r="136" spans="1:74" ht="36" customHeight="1" x14ac:dyDescent="0.3">
      <c r="A136" s="63"/>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P136" s="65" t="str">
        <f t="shared" si="1"/>
        <v xml:space="preserve"> </v>
      </c>
      <c r="BV136" s="76"/>
    </row>
    <row r="137" spans="1:74" ht="36" customHeight="1" x14ac:dyDescent="0.25">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P137" s="65" t="str">
        <f t="shared" si="1"/>
        <v xml:space="preserve"> </v>
      </c>
      <c r="BV137" s="76"/>
    </row>
    <row r="138" spans="1:74" ht="36" customHeight="1" x14ac:dyDescent="0.3">
      <c r="A138" s="63"/>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P138" s="65" t="str">
        <f t="shared" si="1"/>
        <v xml:space="preserve"> </v>
      </c>
      <c r="BV138" s="76"/>
    </row>
    <row r="139" spans="1:74" ht="36" customHeight="1" x14ac:dyDescent="0.3">
      <c r="A139" s="63"/>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P139" s="65" t="str">
        <f t="shared" ref="AP139:AP202" si="2">+IF(AE139=0," ",IF(AE139&lt;=5,"Primera infancia",IF(AE139&lt;=11,"Infancia",IF(AE139&lt;=17,"Adolescencia",IF(AE139&lt;=28,"Jóvenes",IF(AE139&lt;=60,"Adultos",IF(AE139&lt;=120,"Mayores","")))))))</f>
        <v xml:space="preserve"> </v>
      </c>
      <c r="BV139" s="76"/>
    </row>
    <row r="140" spans="1:74" ht="36" customHeight="1" x14ac:dyDescent="0.25">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P140" s="65" t="str">
        <f t="shared" si="2"/>
        <v xml:space="preserve"> </v>
      </c>
      <c r="BV140" s="76"/>
    </row>
    <row r="141" spans="1:74" ht="36" customHeight="1" x14ac:dyDescent="0.3">
      <c r="A141" s="63"/>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P141" s="65" t="str">
        <f t="shared" si="2"/>
        <v xml:space="preserve"> </v>
      </c>
      <c r="BV141" s="76"/>
    </row>
    <row r="142" spans="1:74" ht="36" customHeight="1" x14ac:dyDescent="0.3">
      <c r="A142" s="63"/>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P142" s="65" t="str">
        <f t="shared" si="2"/>
        <v xml:space="preserve"> </v>
      </c>
      <c r="BV142" s="76"/>
    </row>
    <row r="143" spans="1:74" ht="36" customHeight="1" x14ac:dyDescent="0.25">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P143" s="65" t="str">
        <f t="shared" si="2"/>
        <v xml:space="preserve"> </v>
      </c>
      <c r="BV143" s="76"/>
    </row>
    <row r="144" spans="1:74" ht="36" customHeight="1" x14ac:dyDescent="0.3">
      <c r="A144" s="63"/>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P144" s="65" t="str">
        <f t="shared" si="2"/>
        <v xml:space="preserve"> </v>
      </c>
      <c r="BV144" s="76"/>
    </row>
    <row r="145" spans="1:74" ht="36" customHeight="1" x14ac:dyDescent="0.3">
      <c r="A145" s="63"/>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P145" s="65" t="str">
        <f t="shared" si="2"/>
        <v xml:space="preserve"> </v>
      </c>
      <c r="BV145" s="76"/>
    </row>
    <row r="146" spans="1:74" ht="36" customHeight="1" x14ac:dyDescent="0.25">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P146" s="65" t="str">
        <f t="shared" si="2"/>
        <v xml:space="preserve"> </v>
      </c>
      <c r="BV146" s="76"/>
    </row>
    <row r="147" spans="1:74" ht="36" customHeight="1" x14ac:dyDescent="0.3">
      <c r="A147" s="63"/>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P147" s="65" t="str">
        <f t="shared" si="2"/>
        <v xml:space="preserve"> </v>
      </c>
      <c r="BV147" s="76"/>
    </row>
    <row r="148" spans="1:74" ht="36" customHeight="1" x14ac:dyDescent="0.3">
      <c r="A148" s="63"/>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P148" s="65" t="str">
        <f t="shared" si="2"/>
        <v xml:space="preserve"> </v>
      </c>
      <c r="BV148" s="76"/>
    </row>
    <row r="149" spans="1:74" ht="36" customHeight="1" x14ac:dyDescent="0.25">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P149" s="65" t="str">
        <f t="shared" si="2"/>
        <v xml:space="preserve"> </v>
      </c>
      <c r="BV149" s="76"/>
    </row>
    <row r="150" spans="1:74" ht="36" customHeight="1" x14ac:dyDescent="0.3">
      <c r="A150" s="63"/>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P150" s="65" t="str">
        <f t="shared" si="2"/>
        <v xml:space="preserve"> </v>
      </c>
      <c r="BV150" s="76"/>
    </row>
    <row r="151" spans="1:74" ht="36" customHeight="1" x14ac:dyDescent="0.3">
      <c r="A151" s="63"/>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P151" s="65" t="str">
        <f t="shared" si="2"/>
        <v xml:space="preserve"> </v>
      </c>
      <c r="BV151" s="76"/>
    </row>
    <row r="152" spans="1:74" ht="36" customHeight="1" x14ac:dyDescent="0.25">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P152" s="65" t="str">
        <f t="shared" si="2"/>
        <v xml:space="preserve"> </v>
      </c>
      <c r="BV152" s="76"/>
    </row>
    <row r="153" spans="1:74" ht="36" customHeight="1" x14ac:dyDescent="0.3">
      <c r="A153" s="63"/>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P153" s="65" t="str">
        <f t="shared" si="2"/>
        <v xml:space="preserve"> </v>
      </c>
      <c r="BV153" s="76"/>
    </row>
    <row r="154" spans="1:74" ht="36" customHeight="1" x14ac:dyDescent="0.3">
      <c r="A154" s="63"/>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P154" s="65" t="str">
        <f t="shared" si="2"/>
        <v xml:space="preserve"> </v>
      </c>
      <c r="BV154" s="76"/>
    </row>
    <row r="155" spans="1:74" ht="36" customHeight="1" x14ac:dyDescent="0.25">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P155" s="65" t="str">
        <f t="shared" si="2"/>
        <v xml:space="preserve"> </v>
      </c>
      <c r="BV155" s="76"/>
    </row>
    <row r="156" spans="1:74" ht="36" customHeight="1" x14ac:dyDescent="0.3">
      <c r="A156" s="63"/>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P156" s="65" t="str">
        <f t="shared" si="2"/>
        <v xml:space="preserve"> </v>
      </c>
      <c r="BV156" s="76"/>
    </row>
    <row r="157" spans="1:74" ht="36" customHeight="1" x14ac:dyDescent="0.3">
      <c r="A157" s="63"/>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P157" s="65" t="str">
        <f t="shared" si="2"/>
        <v xml:space="preserve"> </v>
      </c>
      <c r="BV157" s="76"/>
    </row>
    <row r="158" spans="1:74" ht="36" customHeight="1" x14ac:dyDescent="0.25">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P158" s="65" t="str">
        <f t="shared" si="2"/>
        <v xml:space="preserve"> </v>
      </c>
      <c r="BV158" s="76"/>
    </row>
    <row r="159" spans="1:74" ht="36" customHeight="1" x14ac:dyDescent="0.3">
      <c r="A159" s="63"/>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P159" s="65" t="str">
        <f t="shared" si="2"/>
        <v xml:space="preserve"> </v>
      </c>
      <c r="BV159" s="76"/>
    </row>
    <row r="160" spans="1:74" ht="36" customHeight="1" x14ac:dyDescent="0.3">
      <c r="A160" s="63"/>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P160" s="65" t="str">
        <f t="shared" si="2"/>
        <v xml:space="preserve"> </v>
      </c>
      <c r="BV160" s="76"/>
    </row>
    <row r="161" spans="1:74" ht="36" customHeight="1" x14ac:dyDescent="0.25">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P161" s="65" t="str">
        <f t="shared" si="2"/>
        <v xml:space="preserve"> </v>
      </c>
      <c r="BV161" s="76"/>
    </row>
    <row r="162" spans="1:74" ht="36" customHeight="1" x14ac:dyDescent="0.3">
      <c r="A162" s="63"/>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P162" s="65" t="str">
        <f t="shared" si="2"/>
        <v xml:space="preserve"> </v>
      </c>
      <c r="BV162" s="76"/>
    </row>
    <row r="163" spans="1:74" ht="36" customHeight="1" x14ac:dyDescent="0.3">
      <c r="A163" s="63"/>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P163" s="65" t="str">
        <f t="shared" si="2"/>
        <v xml:space="preserve"> </v>
      </c>
      <c r="BV163" s="76"/>
    </row>
    <row r="164" spans="1:74" ht="36" customHeight="1" x14ac:dyDescent="0.25">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P164" s="65" t="str">
        <f t="shared" si="2"/>
        <v xml:space="preserve"> </v>
      </c>
      <c r="BV164" s="76"/>
    </row>
    <row r="165" spans="1:74" ht="36" customHeight="1" x14ac:dyDescent="0.3">
      <c r="A165" s="63"/>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P165" s="65" t="str">
        <f t="shared" si="2"/>
        <v xml:space="preserve"> </v>
      </c>
      <c r="BV165" s="76"/>
    </row>
    <row r="166" spans="1:74" ht="36" customHeight="1" x14ac:dyDescent="0.3">
      <c r="A166" s="63"/>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P166" s="65" t="str">
        <f t="shared" si="2"/>
        <v xml:space="preserve"> </v>
      </c>
      <c r="BV166" s="76"/>
    </row>
    <row r="167" spans="1:74" ht="36" customHeight="1" x14ac:dyDescent="0.25">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P167" s="65" t="str">
        <f t="shared" si="2"/>
        <v xml:space="preserve"> </v>
      </c>
      <c r="BV167" s="76"/>
    </row>
    <row r="168" spans="1:74" ht="36" customHeight="1" x14ac:dyDescent="0.3">
      <c r="A168" s="63"/>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P168" s="65" t="str">
        <f t="shared" si="2"/>
        <v xml:space="preserve"> </v>
      </c>
      <c r="BV168" s="76"/>
    </row>
    <row r="169" spans="1:74" ht="36" customHeight="1" x14ac:dyDescent="0.3">
      <c r="A169" s="63"/>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P169" s="65" t="str">
        <f t="shared" si="2"/>
        <v xml:space="preserve"> </v>
      </c>
      <c r="BV169" s="76"/>
    </row>
    <row r="170" spans="1:74" ht="36" customHeight="1" x14ac:dyDescent="0.25">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P170" s="65" t="str">
        <f t="shared" si="2"/>
        <v xml:space="preserve"> </v>
      </c>
      <c r="BV170" s="76"/>
    </row>
    <row r="171" spans="1:74" ht="36" customHeight="1" x14ac:dyDescent="0.3">
      <c r="A171" s="63"/>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P171" s="65" t="str">
        <f t="shared" si="2"/>
        <v xml:space="preserve"> </v>
      </c>
      <c r="BV171" s="76"/>
    </row>
    <row r="172" spans="1:74" ht="36" customHeight="1" x14ac:dyDescent="0.3">
      <c r="A172" s="63"/>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P172" s="65" t="str">
        <f t="shared" si="2"/>
        <v xml:space="preserve"> </v>
      </c>
      <c r="BV172" s="76"/>
    </row>
    <row r="173" spans="1:74" ht="36" customHeight="1" x14ac:dyDescent="0.25">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P173" s="65" t="str">
        <f t="shared" si="2"/>
        <v xml:space="preserve"> </v>
      </c>
      <c r="BV173" s="76"/>
    </row>
    <row r="174" spans="1:74" ht="36" customHeight="1" x14ac:dyDescent="0.3">
      <c r="A174" s="63"/>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P174" s="65" t="str">
        <f t="shared" si="2"/>
        <v xml:space="preserve"> </v>
      </c>
      <c r="BV174" s="76"/>
    </row>
    <row r="175" spans="1:74" ht="36" customHeight="1" x14ac:dyDescent="0.3">
      <c r="A175" s="63"/>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P175" s="65" t="str">
        <f t="shared" si="2"/>
        <v xml:space="preserve"> </v>
      </c>
      <c r="BV175" s="76"/>
    </row>
    <row r="176" spans="1:74" ht="36" customHeight="1" x14ac:dyDescent="0.25">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P176" s="65" t="str">
        <f t="shared" si="2"/>
        <v xml:space="preserve"> </v>
      </c>
      <c r="BV176" s="76"/>
    </row>
    <row r="177" spans="1:74" ht="36" customHeight="1" x14ac:dyDescent="0.3">
      <c r="A177" s="63"/>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P177" s="65" t="str">
        <f t="shared" si="2"/>
        <v xml:space="preserve"> </v>
      </c>
      <c r="BV177" s="76"/>
    </row>
    <row r="178" spans="1:74" ht="36" customHeight="1" x14ac:dyDescent="0.3">
      <c r="A178" s="63"/>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P178" s="65" t="str">
        <f t="shared" si="2"/>
        <v xml:space="preserve"> </v>
      </c>
      <c r="BV178" s="76"/>
    </row>
    <row r="179" spans="1:74" ht="36" customHeight="1" x14ac:dyDescent="0.25">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P179" s="65" t="str">
        <f t="shared" si="2"/>
        <v xml:space="preserve"> </v>
      </c>
      <c r="BV179" s="76"/>
    </row>
    <row r="180" spans="1:74" ht="36" customHeight="1" x14ac:dyDescent="0.3">
      <c r="A180" s="63"/>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P180" s="65" t="str">
        <f t="shared" si="2"/>
        <v xml:space="preserve"> </v>
      </c>
      <c r="BV180" s="76"/>
    </row>
    <row r="181" spans="1:74" ht="36" customHeight="1" x14ac:dyDescent="0.3">
      <c r="A181" s="63"/>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P181" s="65" t="str">
        <f t="shared" si="2"/>
        <v xml:space="preserve"> </v>
      </c>
      <c r="BV181" s="76"/>
    </row>
    <row r="182" spans="1:74" ht="36" customHeight="1" x14ac:dyDescent="0.25">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P182" s="65" t="str">
        <f t="shared" si="2"/>
        <v xml:space="preserve"> </v>
      </c>
      <c r="BV182" s="76"/>
    </row>
    <row r="183" spans="1:74" ht="36" customHeight="1" x14ac:dyDescent="0.3">
      <c r="A183" s="63"/>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P183" s="65" t="str">
        <f t="shared" si="2"/>
        <v xml:space="preserve"> </v>
      </c>
      <c r="BV183" s="76"/>
    </row>
    <row r="184" spans="1:74" ht="36" customHeight="1" x14ac:dyDescent="0.3">
      <c r="A184" s="63"/>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P184" s="65" t="str">
        <f t="shared" si="2"/>
        <v xml:space="preserve"> </v>
      </c>
      <c r="BV184" s="76"/>
    </row>
    <row r="185" spans="1:74" ht="36" customHeight="1" x14ac:dyDescent="0.25">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P185" s="65" t="str">
        <f t="shared" si="2"/>
        <v xml:space="preserve"> </v>
      </c>
      <c r="BV185" s="76"/>
    </row>
    <row r="186" spans="1:74" ht="36" customHeight="1" x14ac:dyDescent="0.3">
      <c r="A186" s="63"/>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P186" s="65" t="str">
        <f t="shared" si="2"/>
        <v xml:space="preserve"> </v>
      </c>
      <c r="BV186" s="76"/>
    </row>
    <row r="187" spans="1:74" ht="36" customHeight="1" x14ac:dyDescent="0.3">
      <c r="A187" s="63"/>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P187" s="65" t="str">
        <f t="shared" si="2"/>
        <v xml:space="preserve"> </v>
      </c>
      <c r="BV187" s="76"/>
    </row>
    <row r="188" spans="1:74" ht="36" customHeight="1" x14ac:dyDescent="0.25">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P188" s="65" t="str">
        <f t="shared" si="2"/>
        <v xml:space="preserve"> </v>
      </c>
      <c r="BV188" s="76"/>
    </row>
    <row r="189" spans="1:74" ht="36" customHeight="1" x14ac:dyDescent="0.3">
      <c r="A189" s="63"/>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P189" s="65" t="str">
        <f t="shared" si="2"/>
        <v xml:space="preserve"> </v>
      </c>
      <c r="BV189" s="76"/>
    </row>
    <row r="190" spans="1:74" ht="36" customHeight="1" x14ac:dyDescent="0.3">
      <c r="A190" s="63"/>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P190" s="65" t="str">
        <f t="shared" si="2"/>
        <v xml:space="preserve"> </v>
      </c>
      <c r="BV190" s="76"/>
    </row>
    <row r="191" spans="1:74" ht="36" customHeight="1" x14ac:dyDescent="0.25">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P191" s="65" t="str">
        <f t="shared" si="2"/>
        <v xml:space="preserve"> </v>
      </c>
      <c r="BV191" s="76"/>
    </row>
    <row r="192" spans="1:74" ht="36" customHeight="1" x14ac:dyDescent="0.3">
      <c r="A192" s="63"/>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P192" s="65" t="str">
        <f t="shared" si="2"/>
        <v xml:space="preserve"> </v>
      </c>
      <c r="BV192" s="76"/>
    </row>
    <row r="193" spans="1:74" ht="36" customHeight="1" x14ac:dyDescent="0.3">
      <c r="A193" s="63"/>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P193" s="65" t="str">
        <f t="shared" si="2"/>
        <v xml:space="preserve"> </v>
      </c>
      <c r="BV193" s="76"/>
    </row>
    <row r="194" spans="1:74" ht="36" customHeight="1" x14ac:dyDescent="0.25">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P194" s="65" t="str">
        <f t="shared" si="2"/>
        <v xml:space="preserve"> </v>
      </c>
      <c r="BV194" s="76"/>
    </row>
    <row r="195" spans="1:74" ht="36" customHeight="1" x14ac:dyDescent="0.3">
      <c r="A195" s="63"/>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P195" s="65" t="str">
        <f t="shared" si="2"/>
        <v xml:space="preserve"> </v>
      </c>
      <c r="BV195" s="76"/>
    </row>
    <row r="196" spans="1:74" ht="36" customHeight="1" x14ac:dyDescent="0.3">
      <c r="A196" s="63"/>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P196" s="65" t="str">
        <f t="shared" si="2"/>
        <v xml:space="preserve"> </v>
      </c>
      <c r="BV196" s="76"/>
    </row>
    <row r="197" spans="1:74" ht="36" customHeight="1" x14ac:dyDescent="0.25">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P197" s="65" t="str">
        <f t="shared" si="2"/>
        <v xml:space="preserve"> </v>
      </c>
      <c r="BV197" s="76"/>
    </row>
    <row r="198" spans="1:74" ht="36" customHeight="1" x14ac:dyDescent="0.3">
      <c r="A198" s="63"/>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P198" s="65" t="str">
        <f t="shared" si="2"/>
        <v xml:space="preserve"> </v>
      </c>
      <c r="BV198" s="76"/>
    </row>
    <row r="199" spans="1:74" ht="36" customHeight="1" x14ac:dyDescent="0.3">
      <c r="A199" s="63"/>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P199" s="65" t="str">
        <f t="shared" si="2"/>
        <v xml:space="preserve"> </v>
      </c>
      <c r="BV199" s="76"/>
    </row>
    <row r="200" spans="1:74" ht="36" customHeight="1" x14ac:dyDescent="0.25">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P200" s="65" t="str">
        <f t="shared" si="2"/>
        <v xml:space="preserve"> </v>
      </c>
      <c r="BV200" s="76"/>
    </row>
    <row r="201" spans="1:74" ht="36" customHeight="1" x14ac:dyDescent="0.3">
      <c r="A201" s="63"/>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P201" s="65" t="str">
        <f t="shared" si="2"/>
        <v xml:space="preserve"> </v>
      </c>
      <c r="BV201" s="76"/>
    </row>
    <row r="202" spans="1:74" ht="36" customHeight="1" x14ac:dyDescent="0.3">
      <c r="A202" s="63"/>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P202" s="65" t="str">
        <f t="shared" si="2"/>
        <v xml:space="preserve"> </v>
      </c>
      <c r="BV202" s="76"/>
    </row>
    <row r="203" spans="1:74" ht="36" customHeight="1" x14ac:dyDescent="0.25">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P203" s="65" t="str">
        <f t="shared" ref="AP203:AP266" si="3">+IF(AE203=0," ",IF(AE203&lt;=5,"Primera infancia",IF(AE203&lt;=11,"Infancia",IF(AE203&lt;=17,"Adolescencia",IF(AE203&lt;=28,"Jóvenes",IF(AE203&lt;=60,"Adultos",IF(AE203&lt;=120,"Mayores","")))))))</f>
        <v xml:space="preserve"> </v>
      </c>
      <c r="BV203" s="76"/>
    </row>
    <row r="204" spans="1:74" ht="36" customHeight="1" x14ac:dyDescent="0.3">
      <c r="A204" s="63"/>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P204" s="65" t="str">
        <f t="shared" si="3"/>
        <v xml:space="preserve"> </v>
      </c>
      <c r="BV204" s="76"/>
    </row>
    <row r="205" spans="1:74" ht="36" customHeight="1" x14ac:dyDescent="0.3">
      <c r="A205" s="63"/>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P205" s="65" t="str">
        <f t="shared" si="3"/>
        <v xml:space="preserve"> </v>
      </c>
      <c r="BV205" s="76"/>
    </row>
    <row r="206" spans="1:74" ht="36" customHeight="1" x14ac:dyDescent="0.25">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P206" s="65" t="str">
        <f t="shared" si="3"/>
        <v xml:space="preserve"> </v>
      </c>
      <c r="BV206" s="76"/>
    </row>
    <row r="207" spans="1:74" ht="36" customHeight="1" x14ac:dyDescent="0.3">
      <c r="A207" s="63"/>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P207" s="65" t="str">
        <f t="shared" si="3"/>
        <v xml:space="preserve"> </v>
      </c>
      <c r="BV207" s="76"/>
    </row>
    <row r="208" spans="1:74" ht="36" customHeight="1" x14ac:dyDescent="0.3">
      <c r="A208" s="63"/>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P208" s="65" t="str">
        <f t="shared" si="3"/>
        <v xml:space="preserve"> </v>
      </c>
      <c r="BV208" s="76"/>
    </row>
    <row r="209" spans="1:74" ht="36" customHeight="1" x14ac:dyDescent="0.25">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P209" s="65" t="str">
        <f t="shared" si="3"/>
        <v xml:space="preserve"> </v>
      </c>
      <c r="BV209" s="76"/>
    </row>
    <row r="210" spans="1:74" ht="36" customHeight="1" x14ac:dyDescent="0.3">
      <c r="A210" s="63"/>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P210" s="65" t="str">
        <f t="shared" si="3"/>
        <v xml:space="preserve"> </v>
      </c>
      <c r="BV210" s="76"/>
    </row>
    <row r="211" spans="1:74" ht="36" customHeight="1" x14ac:dyDescent="0.3">
      <c r="A211" s="63"/>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P211" s="65" t="str">
        <f t="shared" si="3"/>
        <v xml:space="preserve"> </v>
      </c>
      <c r="BV211" s="76"/>
    </row>
    <row r="212" spans="1:74" ht="36" customHeight="1" x14ac:dyDescent="0.25">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P212" s="65" t="str">
        <f t="shared" si="3"/>
        <v xml:space="preserve"> </v>
      </c>
      <c r="BV212" s="76"/>
    </row>
    <row r="213" spans="1:74" ht="36" customHeight="1" x14ac:dyDescent="0.3">
      <c r="A213" s="63"/>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P213" s="65" t="str">
        <f t="shared" si="3"/>
        <v xml:space="preserve"> </v>
      </c>
      <c r="BV213" s="76"/>
    </row>
    <row r="214" spans="1:74" ht="36" customHeight="1" x14ac:dyDescent="0.3">
      <c r="A214" s="63"/>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P214" s="65" t="str">
        <f t="shared" si="3"/>
        <v xml:space="preserve"> </v>
      </c>
      <c r="BV214" s="76"/>
    </row>
    <row r="215" spans="1:74" ht="36" customHeight="1" x14ac:dyDescent="0.25">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P215" s="65" t="str">
        <f t="shared" si="3"/>
        <v xml:space="preserve"> </v>
      </c>
      <c r="BV215" s="76"/>
    </row>
    <row r="216" spans="1:74" ht="36" customHeight="1" x14ac:dyDescent="0.3">
      <c r="A216" s="63"/>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P216" s="65" t="str">
        <f t="shared" si="3"/>
        <v xml:space="preserve"> </v>
      </c>
      <c r="BV216" s="76"/>
    </row>
    <row r="217" spans="1:74" ht="36" customHeight="1" x14ac:dyDescent="0.3">
      <c r="A217" s="63"/>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P217" s="65" t="str">
        <f t="shared" si="3"/>
        <v xml:space="preserve"> </v>
      </c>
      <c r="BV217" s="76"/>
    </row>
    <row r="218" spans="1:74" ht="36" customHeight="1" x14ac:dyDescent="0.25">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P218" s="65" t="str">
        <f t="shared" si="3"/>
        <v xml:space="preserve"> </v>
      </c>
      <c r="BV218" s="76"/>
    </row>
    <row r="219" spans="1:74" ht="36" customHeight="1" x14ac:dyDescent="0.3">
      <c r="A219" s="63"/>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P219" s="65" t="str">
        <f t="shared" si="3"/>
        <v xml:space="preserve"> </v>
      </c>
      <c r="BV219" s="76"/>
    </row>
    <row r="220" spans="1:74" ht="36" customHeight="1" x14ac:dyDescent="0.3">
      <c r="A220" s="63"/>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P220" s="65" t="str">
        <f t="shared" si="3"/>
        <v xml:space="preserve"> </v>
      </c>
      <c r="BV220" s="76"/>
    </row>
    <row r="221" spans="1:74" ht="36" customHeight="1" x14ac:dyDescent="0.25">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c r="AP221" s="65" t="str">
        <f t="shared" si="3"/>
        <v xml:space="preserve"> </v>
      </c>
      <c r="BV221" s="76"/>
    </row>
    <row r="222" spans="1:74" ht="36" customHeight="1" x14ac:dyDescent="0.3">
      <c r="A222" s="63"/>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P222" s="65" t="str">
        <f t="shared" si="3"/>
        <v xml:space="preserve"> </v>
      </c>
      <c r="BV222" s="76"/>
    </row>
    <row r="223" spans="1:74" ht="36" customHeight="1" x14ac:dyDescent="0.3">
      <c r="A223" s="63"/>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P223" s="65" t="str">
        <f t="shared" si="3"/>
        <v xml:space="preserve"> </v>
      </c>
      <c r="BV223" s="76"/>
    </row>
    <row r="224" spans="1:74" ht="36" customHeight="1" x14ac:dyDescent="0.25">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c r="AP224" s="65" t="str">
        <f t="shared" si="3"/>
        <v xml:space="preserve"> </v>
      </c>
      <c r="BV224" s="76"/>
    </row>
    <row r="225" spans="1:74" ht="36" customHeight="1" x14ac:dyDescent="0.3">
      <c r="A225" s="63"/>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c r="AP225" s="65" t="str">
        <f t="shared" si="3"/>
        <v xml:space="preserve"> </v>
      </c>
      <c r="BV225" s="76"/>
    </row>
    <row r="226" spans="1:74" ht="36" customHeight="1" x14ac:dyDescent="0.3">
      <c r="A226" s="63"/>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c r="AP226" s="65" t="str">
        <f t="shared" si="3"/>
        <v xml:space="preserve"> </v>
      </c>
      <c r="BV226" s="76"/>
    </row>
    <row r="227" spans="1:74" ht="36" customHeight="1" x14ac:dyDescent="0.25">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P227" s="65" t="str">
        <f t="shared" si="3"/>
        <v xml:space="preserve"> </v>
      </c>
      <c r="BV227" s="76"/>
    </row>
    <row r="228" spans="1:74" ht="36" customHeight="1" x14ac:dyDescent="0.3">
      <c r="A228" s="63"/>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c r="AP228" s="65" t="str">
        <f t="shared" si="3"/>
        <v xml:space="preserve"> </v>
      </c>
      <c r="BV228" s="76"/>
    </row>
    <row r="229" spans="1:74" ht="36" customHeight="1" x14ac:dyDescent="0.3">
      <c r="A229" s="63"/>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P229" s="65" t="str">
        <f t="shared" si="3"/>
        <v xml:space="preserve"> </v>
      </c>
      <c r="BV229" s="76"/>
    </row>
    <row r="230" spans="1:74" ht="36" customHeight="1" x14ac:dyDescent="0.25">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P230" s="65" t="str">
        <f t="shared" si="3"/>
        <v xml:space="preserve"> </v>
      </c>
      <c r="BV230" s="76"/>
    </row>
    <row r="231" spans="1:74" ht="36" customHeight="1" x14ac:dyDescent="0.3">
      <c r="A231" s="63"/>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P231" s="65" t="str">
        <f t="shared" si="3"/>
        <v xml:space="preserve"> </v>
      </c>
      <c r="BV231" s="76"/>
    </row>
    <row r="232" spans="1:74" ht="36" customHeight="1" x14ac:dyDescent="0.3">
      <c r="A232" s="63"/>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P232" s="65" t="str">
        <f t="shared" si="3"/>
        <v xml:space="preserve"> </v>
      </c>
      <c r="BV232" s="76"/>
    </row>
    <row r="233" spans="1:74" ht="36" customHeight="1" x14ac:dyDescent="0.25">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P233" s="65" t="str">
        <f t="shared" si="3"/>
        <v xml:space="preserve"> </v>
      </c>
      <c r="BV233" s="76"/>
    </row>
    <row r="234" spans="1:74" ht="36" customHeight="1" x14ac:dyDescent="0.3">
      <c r="A234" s="63"/>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P234" s="65" t="str">
        <f t="shared" si="3"/>
        <v xml:space="preserve"> </v>
      </c>
      <c r="BV234" s="76"/>
    </row>
    <row r="235" spans="1:74" ht="36" customHeight="1" x14ac:dyDescent="0.3">
      <c r="A235" s="63"/>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P235" s="65" t="str">
        <f t="shared" si="3"/>
        <v xml:space="preserve"> </v>
      </c>
      <c r="BV235" s="76"/>
    </row>
    <row r="236" spans="1:74" ht="36" customHeight="1" x14ac:dyDescent="0.25">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c r="AP236" s="65" t="str">
        <f t="shared" si="3"/>
        <v xml:space="preserve"> </v>
      </c>
      <c r="BV236" s="76"/>
    </row>
    <row r="237" spans="1:74" ht="36" customHeight="1" x14ac:dyDescent="0.3">
      <c r="A237" s="63"/>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c r="AP237" s="65" t="str">
        <f t="shared" si="3"/>
        <v xml:space="preserve"> </v>
      </c>
      <c r="BV237" s="76"/>
    </row>
    <row r="238" spans="1:74" ht="36" customHeight="1" x14ac:dyDescent="0.3">
      <c r="A238" s="63"/>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P238" s="65" t="str">
        <f t="shared" si="3"/>
        <v xml:space="preserve"> </v>
      </c>
      <c r="BV238" s="76"/>
    </row>
    <row r="239" spans="1:74" ht="36" customHeight="1" x14ac:dyDescent="0.25">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P239" s="65" t="str">
        <f t="shared" si="3"/>
        <v xml:space="preserve"> </v>
      </c>
      <c r="BV239" s="76"/>
    </row>
    <row r="240" spans="1:74" ht="36" customHeight="1" x14ac:dyDescent="0.3">
      <c r="A240" s="63"/>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P240" s="65" t="str">
        <f t="shared" si="3"/>
        <v xml:space="preserve"> </v>
      </c>
      <c r="BV240" s="76"/>
    </row>
    <row r="241" spans="1:74" ht="36" customHeight="1" x14ac:dyDescent="0.3">
      <c r="A241" s="63"/>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P241" s="65" t="str">
        <f t="shared" si="3"/>
        <v xml:space="preserve"> </v>
      </c>
      <c r="BV241" s="76"/>
    </row>
    <row r="242" spans="1:74" ht="36" customHeight="1" x14ac:dyDescent="0.25">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P242" s="65" t="str">
        <f t="shared" si="3"/>
        <v xml:space="preserve"> </v>
      </c>
      <c r="BV242" s="76"/>
    </row>
    <row r="243" spans="1:74" ht="36" customHeight="1" x14ac:dyDescent="0.3">
      <c r="A243" s="63"/>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P243" s="65" t="str">
        <f t="shared" si="3"/>
        <v xml:space="preserve"> </v>
      </c>
      <c r="BV243" s="76"/>
    </row>
    <row r="244" spans="1:74" ht="36" customHeight="1" x14ac:dyDescent="0.3">
      <c r="A244" s="63"/>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P244" s="65" t="str">
        <f t="shared" si="3"/>
        <v xml:space="preserve"> </v>
      </c>
      <c r="BV244" s="76"/>
    </row>
    <row r="245" spans="1:74" ht="36" customHeight="1" x14ac:dyDescent="0.25">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P245" s="65" t="str">
        <f t="shared" si="3"/>
        <v xml:space="preserve"> </v>
      </c>
      <c r="BV245" s="76"/>
    </row>
    <row r="246" spans="1:74" ht="36" customHeight="1" x14ac:dyDescent="0.3">
      <c r="A246" s="63"/>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P246" s="65" t="str">
        <f t="shared" si="3"/>
        <v xml:space="preserve"> </v>
      </c>
      <c r="BV246" s="76"/>
    </row>
    <row r="247" spans="1:74" ht="36" customHeight="1" x14ac:dyDescent="0.3">
      <c r="A247" s="63"/>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P247" s="65" t="str">
        <f t="shared" si="3"/>
        <v xml:space="preserve"> </v>
      </c>
      <c r="BV247" s="76"/>
    </row>
    <row r="248" spans="1:74" ht="36" customHeight="1" x14ac:dyDescent="0.25">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P248" s="65" t="str">
        <f t="shared" si="3"/>
        <v xml:space="preserve"> </v>
      </c>
      <c r="BV248" s="76"/>
    </row>
    <row r="249" spans="1:74" ht="36" customHeight="1" x14ac:dyDescent="0.3">
      <c r="A249" s="63"/>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P249" s="65" t="str">
        <f t="shared" si="3"/>
        <v xml:space="preserve"> </v>
      </c>
      <c r="BV249" s="76"/>
    </row>
    <row r="250" spans="1:74" ht="36" customHeight="1" x14ac:dyDescent="0.3">
      <c r="A250" s="63"/>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P250" s="65" t="str">
        <f t="shared" si="3"/>
        <v xml:space="preserve"> </v>
      </c>
      <c r="BV250" s="76"/>
    </row>
    <row r="251" spans="1:74" ht="36" customHeight="1" x14ac:dyDescent="0.25">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P251" s="65" t="str">
        <f t="shared" si="3"/>
        <v xml:space="preserve"> </v>
      </c>
      <c r="BV251" s="76"/>
    </row>
    <row r="252" spans="1:74" ht="36" customHeight="1" x14ac:dyDescent="0.3">
      <c r="A252" s="63"/>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P252" s="65" t="str">
        <f t="shared" si="3"/>
        <v xml:space="preserve"> </v>
      </c>
      <c r="BV252" s="76"/>
    </row>
    <row r="253" spans="1:74" ht="36" customHeight="1" x14ac:dyDescent="0.3">
      <c r="A253" s="63"/>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P253" s="65" t="str">
        <f t="shared" si="3"/>
        <v xml:space="preserve"> </v>
      </c>
      <c r="BV253" s="76"/>
    </row>
    <row r="254" spans="1:74" ht="36" customHeight="1" x14ac:dyDescent="0.25">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P254" s="65" t="str">
        <f t="shared" si="3"/>
        <v xml:space="preserve"> </v>
      </c>
      <c r="BV254" s="76"/>
    </row>
    <row r="255" spans="1:74" ht="36" customHeight="1" x14ac:dyDescent="0.3">
      <c r="A255" s="63"/>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P255" s="65" t="str">
        <f t="shared" si="3"/>
        <v xml:space="preserve"> </v>
      </c>
      <c r="BV255" s="76"/>
    </row>
    <row r="256" spans="1:74" ht="36" customHeight="1" x14ac:dyDescent="0.3">
      <c r="A256" s="63"/>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P256" s="65" t="str">
        <f t="shared" si="3"/>
        <v xml:space="preserve"> </v>
      </c>
      <c r="BV256" s="76"/>
    </row>
    <row r="257" spans="1:74" ht="36" customHeight="1" x14ac:dyDescent="0.25">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P257" s="65" t="str">
        <f t="shared" si="3"/>
        <v xml:space="preserve"> </v>
      </c>
      <c r="BV257" s="76"/>
    </row>
    <row r="258" spans="1:74" ht="36" customHeight="1" x14ac:dyDescent="0.3">
      <c r="A258" s="63"/>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P258" s="65" t="str">
        <f t="shared" si="3"/>
        <v xml:space="preserve"> </v>
      </c>
      <c r="BV258" s="76"/>
    </row>
    <row r="259" spans="1:74" ht="36" customHeight="1" x14ac:dyDescent="0.3">
      <c r="A259" s="63"/>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c r="AP259" s="65" t="str">
        <f t="shared" si="3"/>
        <v xml:space="preserve"> </v>
      </c>
      <c r="BV259" s="76"/>
    </row>
    <row r="260" spans="1:74" ht="36" customHeight="1" x14ac:dyDescent="0.25">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c r="AP260" s="65" t="str">
        <f t="shared" si="3"/>
        <v xml:space="preserve"> </v>
      </c>
      <c r="BV260" s="76"/>
    </row>
    <row r="261" spans="1:74" ht="36" customHeight="1" x14ac:dyDescent="0.3">
      <c r="A261" s="63"/>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c r="AP261" s="65" t="str">
        <f t="shared" si="3"/>
        <v xml:space="preserve"> </v>
      </c>
      <c r="BV261" s="76"/>
    </row>
    <row r="262" spans="1:74" ht="36" customHeight="1" x14ac:dyDescent="0.3">
      <c r="A262" s="63"/>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c r="AP262" s="65" t="str">
        <f t="shared" si="3"/>
        <v xml:space="preserve"> </v>
      </c>
      <c r="BV262" s="76"/>
    </row>
    <row r="263" spans="1:74" ht="36" customHeight="1" x14ac:dyDescent="0.25">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c r="AP263" s="65" t="str">
        <f t="shared" si="3"/>
        <v xml:space="preserve"> </v>
      </c>
      <c r="BV263" s="76"/>
    </row>
    <row r="264" spans="1:74" ht="36" customHeight="1" x14ac:dyDescent="0.3">
      <c r="A264" s="63"/>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c r="AP264" s="65" t="str">
        <f t="shared" si="3"/>
        <v xml:space="preserve"> </v>
      </c>
      <c r="BV264" s="76"/>
    </row>
    <row r="265" spans="1:74" ht="36" customHeight="1" x14ac:dyDescent="0.3">
      <c r="A265" s="63"/>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c r="AP265" s="65" t="str">
        <f t="shared" si="3"/>
        <v xml:space="preserve"> </v>
      </c>
      <c r="BV265" s="76"/>
    </row>
    <row r="266" spans="1:74" ht="36" customHeight="1" x14ac:dyDescent="0.25">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c r="AP266" s="65" t="str">
        <f t="shared" si="3"/>
        <v xml:space="preserve"> </v>
      </c>
      <c r="BV266" s="76"/>
    </row>
    <row r="267" spans="1:74" ht="36" customHeight="1" x14ac:dyDescent="0.3">
      <c r="A267" s="63"/>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P267" s="65" t="str">
        <f t="shared" ref="AP267:AP321" si="4">+IF(AE267=0," ",IF(AE267&lt;=5,"Primera infancia",IF(AE267&lt;=11,"Infancia",IF(AE267&lt;=17,"Adolescencia",IF(AE267&lt;=28,"Jóvenes",IF(AE267&lt;=60,"Adultos",IF(AE267&lt;=120,"Mayores","")))))))</f>
        <v xml:space="preserve"> </v>
      </c>
    </row>
    <row r="268" spans="1:74" ht="36" customHeight="1" x14ac:dyDescent="0.3">
      <c r="A268" s="63"/>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c r="AP268" s="65" t="str">
        <f t="shared" si="4"/>
        <v xml:space="preserve"> </v>
      </c>
    </row>
    <row r="269" spans="1:74" ht="36" customHeight="1" x14ac:dyDescent="0.25">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P269" s="65" t="str">
        <f t="shared" si="4"/>
        <v xml:space="preserve"> </v>
      </c>
    </row>
    <row r="270" spans="1:74" ht="36" customHeight="1" x14ac:dyDescent="0.3">
      <c r="A270" s="63"/>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c r="AP270" s="65" t="str">
        <f t="shared" si="4"/>
        <v xml:space="preserve"> </v>
      </c>
    </row>
    <row r="271" spans="1:74" ht="36" customHeight="1" x14ac:dyDescent="0.3">
      <c r="A271" s="63"/>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c r="AP271" s="65" t="str">
        <f t="shared" si="4"/>
        <v xml:space="preserve"> </v>
      </c>
    </row>
    <row r="272" spans="1:74" ht="36" customHeight="1" x14ac:dyDescent="0.25">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P272" s="65" t="str">
        <f t="shared" si="4"/>
        <v xml:space="preserve"> </v>
      </c>
    </row>
    <row r="273" spans="1:42" ht="36" customHeight="1" x14ac:dyDescent="0.3">
      <c r="A273" s="63"/>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c r="AP273" s="65" t="str">
        <f t="shared" si="4"/>
        <v xml:space="preserve"> </v>
      </c>
    </row>
    <row r="274" spans="1:42" ht="36" customHeight="1" x14ac:dyDescent="0.3">
      <c r="A274" s="63"/>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c r="AP274" s="65" t="str">
        <f t="shared" si="4"/>
        <v xml:space="preserve"> </v>
      </c>
    </row>
    <row r="275" spans="1:42" ht="36" customHeight="1" x14ac:dyDescent="0.25">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c r="AP275" s="65" t="str">
        <f t="shared" si="4"/>
        <v xml:space="preserve"> </v>
      </c>
    </row>
    <row r="276" spans="1:42" ht="36" customHeight="1" x14ac:dyDescent="0.3">
      <c r="A276" s="63"/>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c r="AP276" s="65" t="str">
        <f t="shared" si="4"/>
        <v xml:space="preserve"> </v>
      </c>
    </row>
    <row r="277" spans="1:42" ht="36" customHeight="1" x14ac:dyDescent="0.3">
      <c r="A277" s="63"/>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P277" s="65" t="str">
        <f t="shared" si="4"/>
        <v xml:space="preserve"> </v>
      </c>
    </row>
    <row r="278" spans="1:42" ht="36" customHeight="1" x14ac:dyDescent="0.25">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c r="AP278" s="65" t="str">
        <f t="shared" si="4"/>
        <v xml:space="preserve"> </v>
      </c>
    </row>
    <row r="279" spans="1:42" ht="36" customHeight="1" x14ac:dyDescent="0.3">
      <c r="A279" s="63"/>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c r="AP279" s="65" t="str">
        <f t="shared" si="4"/>
        <v xml:space="preserve"> </v>
      </c>
    </row>
    <row r="280" spans="1:42" ht="36" customHeight="1" x14ac:dyDescent="0.3">
      <c r="A280" s="63"/>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c r="AP280" s="65" t="str">
        <f t="shared" si="4"/>
        <v xml:space="preserve"> </v>
      </c>
    </row>
    <row r="281" spans="1:42" ht="36" customHeight="1" x14ac:dyDescent="0.25">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c r="AP281" s="65" t="str">
        <f t="shared" si="4"/>
        <v xml:space="preserve"> </v>
      </c>
    </row>
    <row r="282" spans="1:42" ht="36" customHeight="1" x14ac:dyDescent="0.3">
      <c r="A282" s="63"/>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P282" s="65" t="str">
        <f t="shared" si="4"/>
        <v xml:space="preserve"> </v>
      </c>
    </row>
    <row r="283" spans="1:42" ht="36" customHeight="1" x14ac:dyDescent="0.3">
      <c r="A283" s="63"/>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P283" s="65" t="str">
        <f t="shared" si="4"/>
        <v xml:space="preserve"> </v>
      </c>
    </row>
    <row r="284" spans="1:42" ht="36" customHeight="1" x14ac:dyDescent="0.25">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P284" s="65" t="str">
        <f t="shared" si="4"/>
        <v xml:space="preserve"> </v>
      </c>
    </row>
    <row r="285" spans="1:42" ht="36" customHeight="1" x14ac:dyDescent="0.3">
      <c r="A285" s="63"/>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P285" s="65" t="str">
        <f t="shared" si="4"/>
        <v xml:space="preserve"> </v>
      </c>
    </row>
    <row r="286" spans="1:42" ht="36" customHeight="1" x14ac:dyDescent="0.3">
      <c r="A286" s="63"/>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P286" s="65" t="str">
        <f t="shared" si="4"/>
        <v xml:space="preserve"> </v>
      </c>
    </row>
    <row r="287" spans="1:42" ht="36" customHeight="1" x14ac:dyDescent="0.25">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P287" s="65" t="str">
        <f t="shared" si="4"/>
        <v xml:space="preserve"> </v>
      </c>
    </row>
    <row r="288" spans="1:42" ht="36" customHeight="1" x14ac:dyDescent="0.3">
      <c r="A288" s="63"/>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P288" s="65" t="str">
        <f t="shared" si="4"/>
        <v xml:space="preserve"> </v>
      </c>
    </row>
    <row r="289" spans="1:42" ht="36" customHeight="1" x14ac:dyDescent="0.3">
      <c r="A289" s="63"/>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P289" s="65" t="str">
        <f t="shared" si="4"/>
        <v xml:space="preserve"> </v>
      </c>
    </row>
    <row r="290" spans="1:42" ht="36" customHeight="1" x14ac:dyDescent="0.25">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c r="AP290" s="65" t="str">
        <f t="shared" si="4"/>
        <v xml:space="preserve"> </v>
      </c>
    </row>
    <row r="291" spans="1:42" ht="36" customHeight="1" x14ac:dyDescent="0.3">
      <c r="A291" s="63"/>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c r="AP291" s="65" t="str">
        <f t="shared" si="4"/>
        <v xml:space="preserve"> </v>
      </c>
    </row>
    <row r="292" spans="1:42" ht="36" customHeight="1" x14ac:dyDescent="0.3">
      <c r="A292" s="63"/>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c r="AP292" s="65" t="str">
        <f t="shared" si="4"/>
        <v xml:space="preserve"> </v>
      </c>
    </row>
    <row r="293" spans="1:42" ht="36" customHeight="1" x14ac:dyDescent="0.25">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c r="AP293" s="65" t="str">
        <f t="shared" si="4"/>
        <v xml:space="preserve"> </v>
      </c>
    </row>
    <row r="294" spans="1:42" ht="36" customHeight="1" x14ac:dyDescent="0.3">
      <c r="A294" s="63"/>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P294" s="65" t="str">
        <f t="shared" si="4"/>
        <v xml:space="preserve"> </v>
      </c>
    </row>
    <row r="295" spans="1:42" ht="36" customHeight="1" x14ac:dyDescent="0.3">
      <c r="A295" s="63"/>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c r="AP295" s="65" t="str">
        <f t="shared" si="4"/>
        <v xml:space="preserve"> </v>
      </c>
    </row>
    <row r="296" spans="1:42" ht="36" customHeight="1" x14ac:dyDescent="0.25">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c r="AP296" s="65" t="str">
        <f t="shared" si="4"/>
        <v xml:space="preserve"> </v>
      </c>
    </row>
    <row r="297" spans="1:42" ht="36" customHeight="1" x14ac:dyDescent="0.3">
      <c r="A297" s="63"/>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c r="AP297" s="65" t="str">
        <f t="shared" si="4"/>
        <v xml:space="preserve"> </v>
      </c>
    </row>
    <row r="298" spans="1:42" ht="36" customHeight="1" x14ac:dyDescent="0.3">
      <c r="A298" s="63"/>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P298" s="65" t="str">
        <f t="shared" si="4"/>
        <v xml:space="preserve"> </v>
      </c>
    </row>
    <row r="299" spans="1:42" ht="36" customHeight="1" x14ac:dyDescent="0.25">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P299" s="65" t="str">
        <f t="shared" si="4"/>
        <v xml:space="preserve"> </v>
      </c>
    </row>
    <row r="300" spans="1:42" ht="36" customHeight="1" x14ac:dyDescent="0.3">
      <c r="A300" s="63"/>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P300" s="65" t="str">
        <f t="shared" si="4"/>
        <v xml:space="preserve"> </v>
      </c>
    </row>
    <row r="301" spans="1:42" ht="36" customHeight="1" x14ac:dyDescent="0.3">
      <c r="A301" s="63"/>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c r="AP301" s="65" t="str">
        <f t="shared" si="4"/>
        <v xml:space="preserve"> </v>
      </c>
    </row>
    <row r="302" spans="1:42" ht="36" customHeight="1" x14ac:dyDescent="0.25">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c r="AP302" s="65" t="str">
        <f t="shared" si="4"/>
        <v xml:space="preserve"> </v>
      </c>
    </row>
    <row r="303" spans="1:42" ht="36" customHeight="1" x14ac:dyDescent="0.3">
      <c r="A303" s="63"/>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c r="AP303" s="65" t="str">
        <f t="shared" si="4"/>
        <v xml:space="preserve"> </v>
      </c>
    </row>
    <row r="304" spans="1:42" ht="36" customHeight="1" x14ac:dyDescent="0.3">
      <c r="A304" s="63"/>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c r="AP304" s="65" t="str">
        <f t="shared" si="4"/>
        <v xml:space="preserve"> </v>
      </c>
    </row>
    <row r="305" spans="1:42" ht="36" customHeight="1" x14ac:dyDescent="0.25">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c r="AP305" s="65" t="str">
        <f t="shared" si="4"/>
        <v xml:space="preserve"> </v>
      </c>
    </row>
    <row r="306" spans="1:42" ht="36" customHeight="1" x14ac:dyDescent="0.3">
      <c r="A306" s="63"/>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c r="AP306" s="65" t="str">
        <f t="shared" si="4"/>
        <v xml:space="preserve"> </v>
      </c>
    </row>
    <row r="307" spans="1:42" ht="36" customHeight="1" x14ac:dyDescent="0.3">
      <c r="A307" s="63"/>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c r="AP307" s="65" t="str">
        <f t="shared" si="4"/>
        <v xml:space="preserve"> </v>
      </c>
    </row>
    <row r="308" spans="1:42" ht="36" customHeight="1" x14ac:dyDescent="0.25">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c r="AH308" s="64"/>
      <c r="AP308" s="65" t="str">
        <f t="shared" si="4"/>
        <v xml:space="preserve"> </v>
      </c>
    </row>
    <row r="309" spans="1:42" ht="36" customHeight="1" x14ac:dyDescent="0.3">
      <c r="A309" s="63"/>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c r="AP309" s="65" t="str">
        <f t="shared" si="4"/>
        <v xml:space="preserve"> </v>
      </c>
    </row>
    <row r="310" spans="1:42" ht="36" customHeight="1" x14ac:dyDescent="0.3">
      <c r="A310" s="63"/>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c r="AP310" s="65" t="str">
        <f t="shared" si="4"/>
        <v xml:space="preserve"> </v>
      </c>
    </row>
    <row r="311" spans="1:42" ht="36" customHeight="1" x14ac:dyDescent="0.25">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c r="AP311" s="65" t="str">
        <f t="shared" si="4"/>
        <v xml:space="preserve"> </v>
      </c>
    </row>
    <row r="312" spans="1:42" ht="36" customHeight="1" x14ac:dyDescent="0.3">
      <c r="A312" s="63"/>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c r="AP312" s="65" t="str">
        <f t="shared" si="4"/>
        <v xml:space="preserve"> </v>
      </c>
    </row>
    <row r="313" spans="1:42" ht="36" customHeight="1" x14ac:dyDescent="0.3">
      <c r="A313" s="63"/>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c r="AP313" s="65" t="str">
        <f t="shared" si="4"/>
        <v xml:space="preserve"> </v>
      </c>
    </row>
    <row r="314" spans="1:42" ht="36" customHeight="1" x14ac:dyDescent="0.25">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c r="AP314" s="65" t="str">
        <f t="shared" si="4"/>
        <v xml:space="preserve"> </v>
      </c>
    </row>
    <row r="315" spans="1:42" ht="36" customHeight="1" x14ac:dyDescent="0.3">
      <c r="A315" s="63"/>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c r="AP315" s="65" t="str">
        <f t="shared" si="4"/>
        <v xml:space="preserve"> </v>
      </c>
    </row>
    <row r="316" spans="1:42" ht="36" customHeight="1" x14ac:dyDescent="0.3">
      <c r="A316" s="63"/>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c r="AP316" s="65" t="str">
        <f t="shared" si="4"/>
        <v xml:space="preserve"> </v>
      </c>
    </row>
    <row r="317" spans="1:42" ht="36" customHeight="1" x14ac:dyDescent="0.25">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c r="AP317" s="65" t="str">
        <f t="shared" si="4"/>
        <v xml:space="preserve"> </v>
      </c>
    </row>
    <row r="318" spans="1:42" ht="36" customHeight="1" x14ac:dyDescent="0.3">
      <c r="A318" s="63"/>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c r="AP318" s="65" t="str">
        <f t="shared" si="4"/>
        <v xml:space="preserve"> </v>
      </c>
    </row>
    <row r="319" spans="1:42" ht="36" customHeight="1" x14ac:dyDescent="0.3">
      <c r="A319" s="63"/>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c r="AP319" s="65" t="str">
        <f t="shared" si="4"/>
        <v xml:space="preserve"> </v>
      </c>
    </row>
    <row r="320" spans="1:42" ht="36" customHeight="1" x14ac:dyDescent="0.25">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c r="AP320" s="65" t="str">
        <f t="shared" si="4"/>
        <v xml:space="preserve"> </v>
      </c>
    </row>
    <row r="321" spans="1:42" ht="36" customHeight="1" x14ac:dyDescent="0.3">
      <c r="A321" s="63"/>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c r="AP321" s="65" t="str">
        <f t="shared" si="4"/>
        <v xml:space="preserve"> </v>
      </c>
    </row>
    <row r="322" spans="1:42" ht="36" customHeight="1" x14ac:dyDescent="0.25">
      <c r="C322" s="64"/>
      <c r="D322" s="64"/>
    </row>
    <row r="323" spans="1:42" ht="36" customHeight="1" x14ac:dyDescent="0.25">
      <c r="C323" s="64"/>
      <c r="D323" s="64"/>
    </row>
    <row r="324" spans="1:42" ht="36" customHeight="1" x14ac:dyDescent="0.25">
      <c r="C324" s="64"/>
      <c r="D324" s="64"/>
    </row>
    <row r="325" spans="1:42" ht="36" customHeight="1" x14ac:dyDescent="0.25">
      <c r="C325" s="64"/>
      <c r="D325" s="64"/>
    </row>
    <row r="326" spans="1:42" ht="36" customHeight="1" x14ac:dyDescent="0.25">
      <c r="C326" s="64"/>
      <c r="D326" s="64"/>
    </row>
    <row r="327" spans="1:42" ht="36" customHeight="1" x14ac:dyDescent="0.25">
      <c r="C327" s="64"/>
      <c r="D327" s="64"/>
    </row>
    <row r="328" spans="1:42" ht="36" customHeight="1" x14ac:dyDescent="0.25">
      <c r="C328" s="64"/>
      <c r="D328" s="64"/>
    </row>
    <row r="329" spans="1:42" ht="36" customHeight="1" x14ac:dyDescent="0.25">
      <c r="C329" s="64"/>
      <c r="D329" s="64"/>
    </row>
    <row r="330" spans="1:42" ht="36" customHeight="1" x14ac:dyDescent="0.25">
      <c r="C330" s="64"/>
      <c r="D330" s="64"/>
    </row>
    <row r="331" spans="1:42" ht="36" customHeight="1" x14ac:dyDescent="0.25">
      <c r="C331" s="64"/>
      <c r="D331" s="64"/>
    </row>
    <row r="332" spans="1:42" ht="36" customHeight="1" x14ac:dyDescent="0.25">
      <c r="C332" s="64"/>
      <c r="D332" s="64"/>
    </row>
    <row r="333" spans="1:42" ht="36" customHeight="1" x14ac:dyDescent="0.25">
      <c r="C333" s="64"/>
      <c r="D333" s="64"/>
    </row>
    <row r="334" spans="1:42" ht="36" customHeight="1" x14ac:dyDescent="0.25">
      <c r="C334" s="64" t="s">
        <v>42</v>
      </c>
      <c r="D334" s="64"/>
    </row>
  </sheetData>
  <sortState xmlns:xlrd2="http://schemas.microsoft.com/office/spreadsheetml/2017/richdata2" ref="BX15:BX99">
    <sortCondition ref="BX99"/>
  </sortState>
  <dataConsolidate/>
  <mergeCells count="68">
    <mergeCell ref="C2:M2"/>
    <mergeCell ref="AI5:AI7"/>
    <mergeCell ref="BA6:BA7"/>
    <mergeCell ref="BB6:BB7"/>
    <mergeCell ref="BC6:BC7"/>
    <mergeCell ref="AZ5:AZ7"/>
    <mergeCell ref="AN5:AN7"/>
    <mergeCell ref="AO5:AO7"/>
    <mergeCell ref="AQ6:AQ7"/>
    <mergeCell ref="AR6:AR7"/>
    <mergeCell ref="AS6:AS7"/>
    <mergeCell ref="AT5:AT7"/>
    <mergeCell ref="AU6:AU7"/>
    <mergeCell ref="AV6:AV7"/>
    <mergeCell ref="AW6:AW7"/>
    <mergeCell ref="AX5:AX7"/>
    <mergeCell ref="A5:A7"/>
    <mergeCell ref="D5:D7"/>
    <mergeCell ref="F5:F7"/>
    <mergeCell ref="I5:I7"/>
    <mergeCell ref="AH5:AH7"/>
    <mergeCell ref="Y6:Y7"/>
    <mergeCell ref="Z6:Z7"/>
    <mergeCell ref="B5:B7"/>
    <mergeCell ref="C5:C7"/>
    <mergeCell ref="E5:E7"/>
    <mergeCell ref="G5:H6"/>
    <mergeCell ref="AC6:AC7"/>
    <mergeCell ref="AD6:AD7"/>
    <mergeCell ref="AB6:AB7"/>
    <mergeCell ref="AJ1:BC4"/>
    <mergeCell ref="AK6:AK7"/>
    <mergeCell ref="AL6:AL7"/>
    <mergeCell ref="AM5:AM7"/>
    <mergeCell ref="AY5:AY7"/>
    <mergeCell ref="BA5:BC5"/>
    <mergeCell ref="AQ5:AS5"/>
    <mergeCell ref="AJ5:AJ7"/>
    <mergeCell ref="AU5:AW5"/>
    <mergeCell ref="AK5:AL5"/>
    <mergeCell ref="AP5:AP7"/>
    <mergeCell ref="Q2:AH2"/>
    <mergeCell ref="C1:AH1"/>
    <mergeCell ref="AE5:AE7"/>
    <mergeCell ref="AF5:AF7"/>
    <mergeCell ref="AG5:AG7"/>
    <mergeCell ref="AA6:AA7"/>
    <mergeCell ref="V6:V7"/>
    <mergeCell ref="W6:W7"/>
    <mergeCell ref="S5:W5"/>
    <mergeCell ref="U6:U7"/>
    <mergeCell ref="T6:T7"/>
    <mergeCell ref="S6:S7"/>
    <mergeCell ref="J5:J7"/>
    <mergeCell ref="P5:R5"/>
    <mergeCell ref="A4:AH4"/>
    <mergeCell ref="K3:N3"/>
    <mergeCell ref="O3:V3"/>
    <mergeCell ref="W3:AH3"/>
    <mergeCell ref="AA5:AD5"/>
    <mergeCell ref="Y5:Z5"/>
    <mergeCell ref="X5:X7"/>
    <mergeCell ref="Q6:Q7"/>
    <mergeCell ref="R6:R7"/>
    <mergeCell ref="P6:P7"/>
    <mergeCell ref="O6:O7"/>
    <mergeCell ref="K6:N6"/>
    <mergeCell ref="K5:O5"/>
  </mergeCells>
  <dataValidations disablePrompts="1" count="14">
    <dataValidation type="list" allowBlank="1" showInputMessage="1" showErrorMessage="1" sqref="C326:D334" xr:uid="{00000000-0002-0000-0100-000000000000}">
      <formula1>#REF!</formula1>
    </dataValidation>
    <dataValidation type="list" allowBlank="1" showInputMessage="1" showErrorMessage="1" sqref="C9:D325" xr:uid="{00000000-0002-0000-0100-000001000000}">
      <formula1>$BQ$6:$BQ$10</formula1>
    </dataValidation>
    <dataValidation type="list" allowBlank="1" showInputMessage="1" showErrorMessage="1" sqref="AY8:AY392" xr:uid="{00000000-0002-0000-0100-000002000000}">
      <formula1>$CE$3:$CE$21</formula1>
    </dataValidation>
    <dataValidation type="list" allowBlank="1" showInputMessage="1" showErrorMessage="1" sqref="AW8:AW428" xr:uid="{00000000-0002-0000-0100-000003000000}">
      <formula1>$CC$3:$CC$7</formula1>
    </dataValidation>
    <dataValidation type="list" allowBlank="1" showInputMessage="1" showErrorMessage="1" sqref="AV8:AV380" xr:uid="{00000000-0002-0000-0100-000004000000}">
      <formula1>$CB$3:$CB$32</formula1>
    </dataValidation>
    <dataValidation type="list" allowBlank="1" showInputMessage="1" showErrorMessage="1" sqref="AU8:AU456" xr:uid="{00000000-0002-0000-0100-000005000000}">
      <formula1>$CA$3:$CA$20</formula1>
    </dataValidation>
    <dataValidation type="list" allowBlank="1" showInputMessage="1" showErrorMessage="1" sqref="C8:D8" xr:uid="{BCA43AC2-4951-4D63-8D82-9B3F5D6F70EF}">
      <formula1>$BQ$6:$BQ$11</formula1>
    </dataValidation>
    <dataValidation type="list" allowBlank="1" showInputMessage="1" showErrorMessage="1" sqref="E8" xr:uid="{5004711A-2809-43EA-9553-99F66627F97E}">
      <formula1>$BR$6:$BR$8</formula1>
    </dataValidation>
    <dataValidation type="list" allowBlank="1" showInputMessage="1" showErrorMessage="1" sqref="F8" xr:uid="{74FC5A28-4467-404A-AEB5-10CDD72B3113}">
      <formula1>$BS$6:$BS$24</formula1>
    </dataValidation>
    <dataValidation type="list" allowBlank="1" showInputMessage="1" showErrorMessage="1" sqref="I8" xr:uid="{4AA54AE1-4BC8-4E96-9EF6-F196FBCDA349}">
      <formula1>$BT$6:$BT$14</formula1>
    </dataValidation>
    <dataValidation type="list" allowBlank="1" showInputMessage="1" showErrorMessage="1" sqref="J8" xr:uid="{2499771B-3F0F-44B6-B3A7-B25E96C080C6}">
      <formula1>$BU$6:$BU$7</formula1>
    </dataValidation>
    <dataValidation type="list" allowBlank="1" showInputMessage="1" showErrorMessage="1" sqref="AG8" xr:uid="{A8331246-FB34-4D40-9ED4-5C9CEA374FE5}">
      <formula1>$BW$6:$BW$9</formula1>
    </dataValidation>
    <dataValidation type="list" allowBlank="1" showInputMessage="1" showErrorMessage="1" sqref="AF8" xr:uid="{3FD01604-27EB-44BD-8476-7DB90E5BFF5F}">
      <formula1>$BV$6:$BV$17</formula1>
    </dataValidation>
    <dataValidation type="list" allowBlank="1" showInputMessage="1" showErrorMessage="1" sqref="AH8" xr:uid="{E5D9365D-059E-411B-B4FF-2E1C4C548D85}">
      <formula1>$BX$5:$BX$111</formula1>
    </dataValidation>
  </dataValidations>
  <hyperlinks>
    <hyperlink ref="CB8" r:id="rId1" display="https://eacnur.org/blog/apatridas-y-sin-derechos-morales-y-fundamentales/?tc_alt=45664&amp;n_o_pst=n_o_pst" xr:uid="{00000000-0004-0000-0100-000000000000}"/>
    <hyperlink ref="CB28" r:id="rId2" display="https://eacnur.org/es/mas-de-la-mitad-de-los-refugiados-del-mundo-son-ninos?utm_source=Inbound&amp;utm_medium=Referral-CPC-GEN&amp;utm_campaign=ES_ES_Post_Prospecting_MitadRefugiadosMundoSonNinos&amp;utm_content=Corporativo-Organico-General&amp;tc_alt=45664&amp;n_o_pst=n_o_pst" xr:uid="{00000000-0004-0000-0100-000001000000}"/>
  </hyperlinks>
  <printOptions horizontalCentered="1"/>
  <pageMargins left="0.11811023622047245" right="0.19685039370078741" top="1.1023622047244095" bottom="0.78740157480314965" header="0" footer="0"/>
  <pageSetup paperSize="171" scale="68" fitToHeight="0" pageOrder="overThenDown" orientation="landscape" useFirstPageNumber="1" horizontalDpi="1200" verticalDpi="1200" r:id="rId3"/>
  <headerFooter>
    <oddHeader>&amp;L&amp;8&amp;G&amp;R&amp;"Arial,Negrita"&amp;12CONTROL DE ASISTENCIA TECNICA Y CARACTERIZACION DE CIUDADANÍA&amp;11
&amp;"Arial,Normal"&amp;9FO-PDD-19
06-09-2024
V.08</oddHeader>
    <oddFooter xml:space="preserve">&amp;C&amp;"Arial,Normal"&amp;8  Carrera 20 N°8-02, Cód. Postal 850001, Tel. 6336339, Ext.__________, Yopal, Casanare w
ww.casanare.gov.co - ________@casanare.gov.co
</oddFooter>
  </headerFooter>
  <legacyDrawing r:id="rId4"/>
  <legacyDrawingHF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043557"/>
  <sheetViews>
    <sheetView zoomScaleNormal="100" zoomScaleSheetLayoutView="90" zoomScalePageLayoutView="75" workbookViewId="0">
      <selection activeCell="E14" sqref="E14"/>
    </sheetView>
  </sheetViews>
  <sheetFormatPr baseColWidth="10" defaultColWidth="11.453125" defaultRowHeight="13" outlineLevelRow="2" x14ac:dyDescent="0.25"/>
  <cols>
    <col min="1" max="1" width="3.08984375" style="34" customWidth="1"/>
    <col min="2" max="2" width="27.08984375" style="34" customWidth="1"/>
    <col min="3" max="3" width="13.08984375" style="34" customWidth="1"/>
    <col min="4" max="4" width="22.453125" style="16" customWidth="1"/>
    <col min="5" max="7" width="2.7265625" style="22" customWidth="1"/>
    <col min="8" max="8" width="2.26953125" style="22" customWidth="1"/>
    <col min="9" max="9" width="2.90625" style="22" customWidth="1"/>
    <col min="10" max="10" width="2.1796875" style="22" customWidth="1"/>
    <col min="11" max="11" width="2.6328125" style="22" customWidth="1"/>
    <col min="12" max="12" width="5.36328125" style="22" customWidth="1"/>
    <col min="13" max="13" width="7.08984375" style="22" customWidth="1"/>
    <col min="14" max="17" width="5.36328125" style="22" customWidth="1"/>
    <col min="18" max="21" width="3.08984375" style="22" customWidth="1"/>
    <col min="22" max="27" width="5.36328125" style="22" customWidth="1"/>
    <col min="28" max="28" width="13.6328125" style="16" customWidth="1"/>
    <col min="29" max="16384" width="11.453125" style="16"/>
  </cols>
  <sheetData>
    <row r="1" spans="1:52" ht="39.75" customHeight="1" x14ac:dyDescent="0.25">
      <c r="A1" s="138" t="s">
        <v>60</v>
      </c>
      <c r="B1" s="138"/>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row>
    <row r="2" spans="1:52" hidden="1" x14ac:dyDescent="0.2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row>
    <row r="3" spans="1:52" ht="33" customHeight="1" x14ac:dyDescent="0.25">
      <c r="A3" s="138" t="s">
        <v>61</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row>
    <row r="4" spans="1:52" hidden="1" x14ac:dyDescent="0.25">
      <c r="A4" s="17"/>
      <c r="B4" s="17"/>
      <c r="C4" s="17"/>
      <c r="D4" s="17"/>
      <c r="E4" s="17"/>
      <c r="F4" s="17"/>
      <c r="G4" s="17"/>
      <c r="H4" s="17"/>
      <c r="I4" s="17"/>
      <c r="J4" s="17"/>
      <c r="K4" s="17"/>
      <c r="L4" s="17"/>
      <c r="M4" s="17"/>
      <c r="N4" s="17"/>
      <c r="O4" s="17"/>
      <c r="P4" s="17"/>
      <c r="Q4" s="17"/>
      <c r="R4" s="17"/>
      <c r="S4" s="17"/>
      <c r="T4" s="17"/>
      <c r="U4" s="17"/>
      <c r="V4" s="17"/>
      <c r="W4" s="17"/>
      <c r="X4" s="17"/>
      <c r="Y4" s="17"/>
      <c r="Z4" s="17"/>
      <c r="AA4" s="17"/>
    </row>
    <row r="5" spans="1:52" ht="24" customHeight="1" thickBot="1" x14ac:dyDescent="0.3">
      <c r="A5" s="17"/>
      <c r="B5" s="139" t="s">
        <v>62</v>
      </c>
      <c r="C5" s="139"/>
      <c r="D5" s="139"/>
      <c r="E5" s="140" t="s">
        <v>182</v>
      </c>
      <c r="F5" s="140"/>
      <c r="G5" s="140"/>
      <c r="H5" s="140"/>
      <c r="I5" s="140"/>
      <c r="J5" s="140"/>
      <c r="K5" s="140"/>
      <c r="L5" s="140"/>
      <c r="M5" s="140"/>
      <c r="N5" s="140"/>
      <c r="O5" s="140"/>
      <c r="P5" s="140"/>
      <c r="Q5" s="140"/>
      <c r="R5" s="140"/>
      <c r="S5" s="140"/>
      <c r="T5" s="140"/>
      <c r="U5" s="140"/>
      <c r="V5" s="140"/>
      <c r="W5" s="140"/>
      <c r="X5" s="140"/>
      <c r="Y5" s="140"/>
      <c r="Z5" s="140"/>
      <c r="AA5" s="140"/>
      <c r="AB5" s="140"/>
    </row>
    <row r="6" spans="1:52" ht="13.5" hidden="1" thickBot="1"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row>
    <row r="7" spans="1:52" ht="45.75" customHeight="1" thickBot="1" x14ac:dyDescent="0.3">
      <c r="A7" s="141" t="s">
        <v>19</v>
      </c>
      <c r="B7" s="139" t="s">
        <v>63</v>
      </c>
      <c r="C7" s="139" t="s">
        <v>64</v>
      </c>
      <c r="D7" s="139" t="s">
        <v>65</v>
      </c>
      <c r="E7" s="168" t="s">
        <v>66</v>
      </c>
      <c r="F7" s="168"/>
      <c r="G7" s="178" t="s">
        <v>22</v>
      </c>
      <c r="H7" s="179"/>
      <c r="I7" s="179"/>
      <c r="J7" s="179"/>
      <c r="K7" s="180"/>
      <c r="L7" s="172" t="s">
        <v>499</v>
      </c>
      <c r="M7" s="173"/>
      <c r="N7" s="173"/>
      <c r="O7" s="174" t="s">
        <v>500</v>
      </c>
      <c r="P7" s="175" t="s">
        <v>501</v>
      </c>
      <c r="Q7" s="175"/>
      <c r="R7" s="168" t="s">
        <v>503</v>
      </c>
      <c r="S7" s="168"/>
      <c r="T7" s="168"/>
      <c r="U7" s="168"/>
      <c r="V7" s="169" t="s">
        <v>67</v>
      </c>
      <c r="W7" s="169"/>
      <c r="X7" s="169"/>
      <c r="Y7" s="169"/>
      <c r="Z7" s="169"/>
      <c r="AA7" s="169"/>
      <c r="AB7" s="168" t="s">
        <v>68</v>
      </c>
    </row>
    <row r="8" spans="1:52" ht="21.75" customHeight="1" outlineLevel="1" thickBot="1" x14ac:dyDescent="0.3">
      <c r="A8" s="141"/>
      <c r="B8" s="139"/>
      <c r="C8" s="139"/>
      <c r="D8" s="139"/>
      <c r="E8" s="168"/>
      <c r="F8" s="168"/>
      <c r="G8" s="181" t="s">
        <v>298</v>
      </c>
      <c r="H8" s="182"/>
      <c r="I8" s="182"/>
      <c r="J8" s="183"/>
      <c r="K8" s="106" t="s">
        <v>299</v>
      </c>
      <c r="L8" s="106" t="s">
        <v>25</v>
      </c>
      <c r="M8" s="106" t="s">
        <v>32</v>
      </c>
      <c r="N8" s="106" t="s">
        <v>292</v>
      </c>
      <c r="O8" s="174"/>
      <c r="P8" s="132" t="s">
        <v>461</v>
      </c>
      <c r="Q8" s="132" t="s">
        <v>462</v>
      </c>
      <c r="R8" s="117" t="s">
        <v>30</v>
      </c>
      <c r="S8" s="117" t="s">
        <v>40</v>
      </c>
      <c r="T8" s="117" t="s">
        <v>41</v>
      </c>
      <c r="U8" s="117" t="s">
        <v>31</v>
      </c>
      <c r="V8" s="170" t="s">
        <v>69</v>
      </c>
      <c r="W8" s="170" t="s">
        <v>70</v>
      </c>
      <c r="X8" s="170" t="s">
        <v>71</v>
      </c>
      <c r="Y8" s="170" t="s">
        <v>72</v>
      </c>
      <c r="Z8" s="170" t="s">
        <v>73</v>
      </c>
      <c r="AA8" s="170" t="s">
        <v>74</v>
      </c>
      <c r="AB8" s="168"/>
    </row>
    <row r="9" spans="1:52" ht="50.25" customHeight="1" outlineLevel="1" thickBot="1" x14ac:dyDescent="0.3">
      <c r="A9" s="142"/>
      <c r="B9" s="139"/>
      <c r="C9" s="139"/>
      <c r="D9" s="139"/>
      <c r="E9" s="171" t="s">
        <v>23</v>
      </c>
      <c r="F9" s="171" t="s">
        <v>24</v>
      </c>
      <c r="G9" s="52" t="s">
        <v>20</v>
      </c>
      <c r="H9" s="52" t="s">
        <v>21</v>
      </c>
      <c r="I9" s="52" t="s">
        <v>297</v>
      </c>
      <c r="J9" s="52" t="s">
        <v>463</v>
      </c>
      <c r="K9" s="106"/>
      <c r="L9" s="106"/>
      <c r="M9" s="106"/>
      <c r="N9" s="106"/>
      <c r="O9" s="174"/>
      <c r="P9" s="132"/>
      <c r="Q9" s="132"/>
      <c r="R9" s="117"/>
      <c r="S9" s="117"/>
      <c r="T9" s="117"/>
      <c r="U9" s="117"/>
      <c r="V9" s="170"/>
      <c r="W9" s="170"/>
      <c r="X9" s="170"/>
      <c r="Y9" s="170"/>
      <c r="Z9" s="170"/>
      <c r="AA9" s="170"/>
      <c r="AB9" s="168"/>
    </row>
    <row r="10" spans="1:52" s="22" customFormat="1" ht="13.5" outlineLevel="2" thickBot="1" x14ac:dyDescent="0.3">
      <c r="A10" s="18">
        <v>1</v>
      </c>
      <c r="B10" s="19"/>
      <c r="C10" s="19"/>
      <c r="D10" s="20" t="s">
        <v>75</v>
      </c>
      <c r="E10" s="21">
        <v>0</v>
      </c>
      <c r="F10" s="21">
        <v>5</v>
      </c>
      <c r="G10" s="21">
        <v>3</v>
      </c>
      <c r="H10" s="21">
        <v>2</v>
      </c>
      <c r="I10" s="21"/>
      <c r="J10" s="21"/>
      <c r="K10" s="21"/>
      <c r="L10" s="21">
        <v>5</v>
      </c>
      <c r="M10" s="21"/>
      <c r="N10" s="21"/>
      <c r="O10" s="21"/>
      <c r="P10" s="21"/>
      <c r="Q10" s="21"/>
      <c r="R10" s="21"/>
      <c r="S10" s="21"/>
      <c r="T10" s="21"/>
      <c r="U10" s="21"/>
      <c r="V10" s="21">
        <v>3</v>
      </c>
      <c r="W10" s="21"/>
      <c r="X10" s="21"/>
      <c r="Y10" s="21">
        <v>2</v>
      </c>
      <c r="Z10" s="21"/>
      <c r="AA10" s="21"/>
      <c r="AB10" s="21">
        <f>SUM(E10:AA10)</f>
        <v>20</v>
      </c>
      <c r="AD10" s="23"/>
    </row>
    <row r="11" spans="1:52" ht="13.5" outlineLevel="2" thickBot="1" x14ac:dyDescent="0.3">
      <c r="A11" s="18">
        <v>2</v>
      </c>
      <c r="B11" s="24"/>
      <c r="C11" s="24"/>
      <c r="D11" s="20" t="s">
        <v>75</v>
      </c>
      <c r="E11" s="21">
        <v>0</v>
      </c>
      <c r="F11" s="21">
        <v>7</v>
      </c>
      <c r="G11" s="21">
        <v>5</v>
      </c>
      <c r="H11" s="21">
        <v>2</v>
      </c>
      <c r="I11" s="21"/>
      <c r="J11" s="21"/>
      <c r="K11" s="21"/>
      <c r="L11" s="21">
        <v>7</v>
      </c>
      <c r="M11" s="21"/>
      <c r="N11" s="21"/>
      <c r="O11" s="21"/>
      <c r="P11" s="21"/>
      <c r="Q11" s="21"/>
      <c r="R11" s="21"/>
      <c r="S11" s="21"/>
      <c r="T11" s="21"/>
      <c r="U11" s="21"/>
      <c r="V11" s="21"/>
      <c r="W11" s="21">
        <v>5</v>
      </c>
      <c r="X11" s="21">
        <v>2</v>
      </c>
      <c r="Y11" s="21"/>
      <c r="Z11" s="21"/>
      <c r="AA11" s="21"/>
      <c r="AB11" s="21">
        <f>SUM(V11:AA11)</f>
        <v>7</v>
      </c>
    </row>
    <row r="12" spans="1:52" ht="13.5" outlineLevel="2" thickBot="1" x14ac:dyDescent="0.3">
      <c r="A12" s="18">
        <v>3</v>
      </c>
      <c r="B12" s="24"/>
      <c r="C12" s="24"/>
      <c r="D12" s="20" t="s">
        <v>75</v>
      </c>
      <c r="E12" s="21"/>
      <c r="F12" s="21"/>
      <c r="G12" s="21"/>
      <c r="H12" s="21"/>
      <c r="I12" s="21"/>
      <c r="J12" s="21"/>
      <c r="K12" s="21"/>
      <c r="L12" s="21"/>
      <c r="M12" s="21"/>
      <c r="N12" s="21"/>
      <c r="O12" s="21"/>
      <c r="P12" s="21"/>
      <c r="Q12" s="21"/>
      <c r="R12" s="21"/>
      <c r="S12" s="21"/>
      <c r="T12" s="21"/>
      <c r="U12" s="21"/>
      <c r="V12" s="21"/>
      <c r="W12" s="21"/>
      <c r="X12" s="21"/>
      <c r="Y12" s="21"/>
      <c r="Z12" s="21"/>
      <c r="AA12" s="21"/>
      <c r="AB12" s="21">
        <f>SUM(E12:AA12)</f>
        <v>0</v>
      </c>
    </row>
    <row r="13" spans="1:52" ht="13.5" outlineLevel="2" thickBot="1" x14ac:dyDescent="0.3">
      <c r="A13" s="18">
        <v>4</v>
      </c>
      <c r="B13" s="19"/>
      <c r="C13" s="19"/>
      <c r="D13" s="20" t="s">
        <v>75</v>
      </c>
      <c r="E13" s="21"/>
      <c r="F13" s="21"/>
      <c r="G13" s="21"/>
      <c r="H13" s="21"/>
      <c r="I13" s="21"/>
      <c r="J13" s="21"/>
      <c r="K13" s="21"/>
      <c r="L13" s="21"/>
      <c r="M13" s="21"/>
      <c r="N13" s="21"/>
      <c r="O13" s="21"/>
      <c r="P13" s="21"/>
      <c r="Q13" s="21"/>
      <c r="R13" s="21"/>
      <c r="S13" s="21"/>
      <c r="T13" s="21"/>
      <c r="U13" s="21"/>
      <c r="V13" s="21"/>
      <c r="W13" s="21"/>
      <c r="X13" s="21"/>
      <c r="Y13" s="21"/>
      <c r="Z13" s="21"/>
      <c r="AA13" s="21"/>
      <c r="AB13" s="21">
        <f>SUM(E13:AA13)</f>
        <v>0</v>
      </c>
    </row>
    <row r="14" spans="1:52" ht="13.5" outlineLevel="1" thickBot="1" x14ac:dyDescent="0.3">
      <c r="A14" s="18"/>
      <c r="B14" s="24"/>
      <c r="C14" s="24"/>
      <c r="D14" s="25" t="s">
        <v>76</v>
      </c>
      <c r="E14" s="26">
        <f>SUM(E10:E13)</f>
        <v>0</v>
      </c>
      <c r="F14" s="26">
        <f t="shared" ref="F14:AB14" si="0">SUM(F10:F13)</f>
        <v>12</v>
      </c>
      <c r="G14" s="26">
        <f t="shared" si="0"/>
        <v>8</v>
      </c>
      <c r="H14" s="26">
        <f t="shared" si="0"/>
        <v>4</v>
      </c>
      <c r="I14" s="26">
        <f t="shared" si="0"/>
        <v>0</v>
      </c>
      <c r="J14" s="26">
        <f t="shared" si="0"/>
        <v>0</v>
      </c>
      <c r="K14" s="26">
        <f t="shared" si="0"/>
        <v>0</v>
      </c>
      <c r="L14" s="26">
        <f t="shared" si="0"/>
        <v>12</v>
      </c>
      <c r="M14" s="26">
        <f t="shared" si="0"/>
        <v>0</v>
      </c>
      <c r="N14" s="26">
        <f t="shared" si="0"/>
        <v>0</v>
      </c>
      <c r="O14" s="26">
        <f t="shared" si="0"/>
        <v>0</v>
      </c>
      <c r="P14" s="26">
        <f t="shared" si="0"/>
        <v>0</v>
      </c>
      <c r="Q14" s="26">
        <f t="shared" si="0"/>
        <v>0</v>
      </c>
      <c r="R14" s="26">
        <f t="shared" si="0"/>
        <v>0</v>
      </c>
      <c r="S14" s="26">
        <f t="shared" si="0"/>
        <v>0</v>
      </c>
      <c r="T14" s="26">
        <f t="shared" si="0"/>
        <v>0</v>
      </c>
      <c r="U14" s="26">
        <f t="shared" si="0"/>
        <v>0</v>
      </c>
      <c r="V14" s="26">
        <f t="shared" si="0"/>
        <v>3</v>
      </c>
      <c r="W14" s="26">
        <f t="shared" si="0"/>
        <v>5</v>
      </c>
      <c r="X14" s="26">
        <f t="shared" si="0"/>
        <v>2</v>
      </c>
      <c r="Y14" s="26">
        <f t="shared" si="0"/>
        <v>2</v>
      </c>
      <c r="Z14" s="26">
        <f t="shared" si="0"/>
        <v>0</v>
      </c>
      <c r="AA14" s="26">
        <f t="shared" si="0"/>
        <v>0</v>
      </c>
      <c r="AB14" s="26">
        <f t="shared" si="0"/>
        <v>27</v>
      </c>
      <c r="AZ14" s="16">
        <f>SUBTOTAL(9,AZ10:AZ13)</f>
        <v>0</v>
      </c>
    </row>
    <row r="15" spans="1:52" ht="13.5" outlineLevel="2" thickBot="1" x14ac:dyDescent="0.3">
      <c r="A15" s="18">
        <v>1</v>
      </c>
      <c r="B15" s="19"/>
      <c r="C15" s="19"/>
      <c r="D15" s="20" t="s">
        <v>77</v>
      </c>
      <c r="E15" s="27"/>
      <c r="F15" s="21"/>
      <c r="G15" s="21"/>
      <c r="H15" s="21"/>
      <c r="I15" s="21"/>
      <c r="J15" s="21"/>
      <c r="K15" s="21"/>
      <c r="L15" s="21"/>
      <c r="M15" s="21"/>
      <c r="N15" s="21"/>
      <c r="O15" s="21"/>
      <c r="P15" s="21"/>
      <c r="Q15" s="21"/>
      <c r="R15" s="21"/>
      <c r="S15" s="21"/>
      <c r="T15" s="21"/>
      <c r="U15" s="21"/>
      <c r="V15" s="21"/>
      <c r="W15" s="21"/>
      <c r="X15" s="21"/>
      <c r="Y15" s="21"/>
      <c r="Z15" s="21"/>
      <c r="AA15" s="21"/>
      <c r="AB15" s="21">
        <f>SUM(E15:AA15)</f>
        <v>0</v>
      </c>
      <c r="AD15" s="23"/>
    </row>
    <row r="16" spans="1:52" ht="13.5" outlineLevel="2" thickBot="1" x14ac:dyDescent="0.3">
      <c r="A16" s="18">
        <v>2</v>
      </c>
      <c r="B16" s="24"/>
      <c r="C16" s="24"/>
      <c r="D16" s="20" t="s">
        <v>77</v>
      </c>
      <c r="E16" s="21"/>
      <c r="F16" s="21"/>
      <c r="G16" s="21"/>
      <c r="H16" s="21"/>
      <c r="I16" s="21"/>
      <c r="J16" s="21"/>
      <c r="K16" s="21"/>
      <c r="L16" s="21"/>
      <c r="M16" s="21"/>
      <c r="N16" s="21"/>
      <c r="O16" s="21"/>
      <c r="P16" s="21"/>
      <c r="Q16" s="21"/>
      <c r="R16" s="21"/>
      <c r="S16" s="21"/>
      <c r="T16" s="21"/>
      <c r="U16" s="21"/>
      <c r="V16" s="21"/>
      <c r="W16" s="21"/>
      <c r="X16" s="21"/>
      <c r="Y16" s="21"/>
      <c r="Z16" s="21"/>
      <c r="AA16" s="21"/>
      <c r="AB16" s="21">
        <f>SUM(E16:AA16)</f>
        <v>0</v>
      </c>
    </row>
    <row r="17" spans="1:52" ht="21.75" customHeight="1" outlineLevel="2" thickBot="1" x14ac:dyDescent="0.3">
      <c r="A17" s="18">
        <v>3</v>
      </c>
      <c r="B17" s="24"/>
      <c r="C17" s="24"/>
      <c r="D17" s="20" t="s">
        <v>77</v>
      </c>
      <c r="E17" s="21">
        <v>5</v>
      </c>
      <c r="F17" s="21">
        <v>5</v>
      </c>
      <c r="G17" s="21">
        <v>5</v>
      </c>
      <c r="H17" s="21">
        <v>5</v>
      </c>
      <c r="I17" s="21"/>
      <c r="J17" s="21"/>
      <c r="K17" s="21">
        <v>5</v>
      </c>
      <c r="L17" s="21"/>
      <c r="M17" s="21"/>
      <c r="N17" s="21"/>
      <c r="O17" s="21"/>
      <c r="P17" s="21"/>
      <c r="Q17" s="21"/>
      <c r="R17" s="21"/>
      <c r="S17" s="21"/>
      <c r="T17" s="21"/>
      <c r="U17" s="21"/>
      <c r="V17" s="21"/>
      <c r="W17" s="21"/>
      <c r="X17" s="21"/>
      <c r="Y17" s="21"/>
      <c r="Z17" s="21"/>
      <c r="AA17" s="21"/>
      <c r="AB17" s="21">
        <f>SUM(E17:AA17)</f>
        <v>25</v>
      </c>
    </row>
    <row r="18" spans="1:52" ht="13.5" outlineLevel="2" thickBot="1" x14ac:dyDescent="0.3">
      <c r="A18" s="18">
        <v>4</v>
      </c>
      <c r="B18" s="19"/>
      <c r="C18" s="19"/>
      <c r="D18" s="20" t="s">
        <v>77</v>
      </c>
      <c r="E18" s="21"/>
      <c r="F18" s="21"/>
      <c r="G18" s="21"/>
      <c r="H18" s="21"/>
      <c r="I18" s="21"/>
      <c r="J18" s="21"/>
      <c r="K18" s="21"/>
      <c r="L18" s="21"/>
      <c r="M18" s="21"/>
      <c r="N18" s="21"/>
      <c r="O18" s="21"/>
      <c r="P18" s="21"/>
      <c r="Q18" s="21"/>
      <c r="R18" s="21"/>
      <c r="S18" s="21"/>
      <c r="T18" s="21"/>
      <c r="U18" s="21"/>
      <c r="V18" s="21"/>
      <c r="W18" s="21"/>
      <c r="X18" s="21"/>
      <c r="Y18" s="21"/>
      <c r="Z18" s="21"/>
      <c r="AA18" s="21"/>
      <c r="AB18" s="21">
        <f>SUM(E18:AA18)</f>
        <v>0</v>
      </c>
    </row>
    <row r="19" spans="1:52" ht="13.5" outlineLevel="1" thickBot="1" x14ac:dyDescent="0.3">
      <c r="A19" s="18"/>
      <c r="B19" s="24"/>
      <c r="C19" s="24"/>
      <c r="D19" s="25" t="s">
        <v>78</v>
      </c>
      <c r="E19" s="26">
        <f>SUM(E15:E18)</f>
        <v>5</v>
      </c>
      <c r="F19" s="26">
        <f t="shared" ref="F19:Z19" si="1">SUM(F15:F18)</f>
        <v>5</v>
      </c>
      <c r="G19" s="26">
        <f t="shared" si="1"/>
        <v>5</v>
      </c>
      <c r="H19" s="26">
        <f t="shared" si="1"/>
        <v>5</v>
      </c>
      <c r="I19" s="26"/>
      <c r="J19" s="26"/>
      <c r="K19" s="26">
        <f t="shared" si="1"/>
        <v>5</v>
      </c>
      <c r="L19" s="26">
        <f t="shared" si="1"/>
        <v>0</v>
      </c>
      <c r="M19" s="26">
        <f t="shared" si="1"/>
        <v>0</v>
      </c>
      <c r="N19" s="26">
        <f t="shared" si="1"/>
        <v>0</v>
      </c>
      <c r="O19" s="26"/>
      <c r="P19" s="26"/>
      <c r="Q19" s="26"/>
      <c r="R19" s="26">
        <f t="shared" si="1"/>
        <v>0</v>
      </c>
      <c r="S19" s="26">
        <f t="shared" si="1"/>
        <v>0</v>
      </c>
      <c r="T19" s="26">
        <f t="shared" si="1"/>
        <v>0</v>
      </c>
      <c r="U19" s="26">
        <f t="shared" si="1"/>
        <v>0</v>
      </c>
      <c r="V19" s="26">
        <f t="shared" si="1"/>
        <v>0</v>
      </c>
      <c r="W19" s="26">
        <f t="shared" si="1"/>
        <v>0</v>
      </c>
      <c r="X19" s="26">
        <f t="shared" si="1"/>
        <v>0</v>
      </c>
      <c r="Y19" s="26">
        <f t="shared" si="1"/>
        <v>0</v>
      </c>
      <c r="Z19" s="26">
        <f t="shared" si="1"/>
        <v>0</v>
      </c>
      <c r="AA19" s="26">
        <f>SUM(AA15:AA18)</f>
        <v>0</v>
      </c>
      <c r="AB19" s="26">
        <f>SUM(AB15:AB18)</f>
        <v>25</v>
      </c>
      <c r="AZ19" s="16">
        <f>SUBTOTAL(9,AZ15:AZ18)</f>
        <v>0</v>
      </c>
    </row>
    <row r="20" spans="1:52" ht="16.5" customHeight="1" outlineLevel="2" thickBot="1" x14ac:dyDescent="0.3">
      <c r="A20" s="18">
        <v>1</v>
      </c>
      <c r="B20" s="28"/>
      <c r="C20" s="28"/>
      <c r="D20" s="20" t="s">
        <v>79</v>
      </c>
      <c r="E20" s="21"/>
      <c r="F20" s="21"/>
      <c r="G20" s="21"/>
      <c r="H20" s="21"/>
      <c r="I20" s="21"/>
      <c r="J20" s="21"/>
      <c r="K20" s="21"/>
      <c r="L20" s="21"/>
      <c r="M20" s="21"/>
      <c r="N20" s="21"/>
      <c r="O20" s="21"/>
      <c r="P20" s="21"/>
      <c r="Q20" s="21"/>
      <c r="R20" s="21"/>
      <c r="S20" s="21"/>
      <c r="T20" s="21"/>
      <c r="U20" s="21"/>
      <c r="V20" s="21"/>
      <c r="W20" s="21"/>
      <c r="X20" s="21"/>
      <c r="Y20" s="21"/>
      <c r="Z20" s="21"/>
      <c r="AA20" s="21"/>
      <c r="AB20" s="21">
        <f>SUM(E20:AA20)</f>
        <v>0</v>
      </c>
      <c r="AD20" s="23"/>
    </row>
    <row r="21" spans="1:52" ht="13.5" outlineLevel="2" thickBot="1" x14ac:dyDescent="0.3">
      <c r="A21" s="18">
        <v>2</v>
      </c>
      <c r="B21" s="6"/>
      <c r="C21" s="6"/>
      <c r="D21" s="20" t="s">
        <v>79</v>
      </c>
      <c r="E21" s="21"/>
      <c r="F21" s="21"/>
      <c r="G21" s="21"/>
      <c r="H21" s="21"/>
      <c r="I21" s="21"/>
      <c r="J21" s="21"/>
      <c r="K21" s="21"/>
      <c r="L21" s="21"/>
      <c r="M21" s="21"/>
      <c r="N21" s="21"/>
      <c r="O21" s="21"/>
      <c r="P21" s="21"/>
      <c r="Q21" s="21"/>
      <c r="R21" s="21"/>
      <c r="S21" s="21"/>
      <c r="T21" s="21"/>
      <c r="U21" s="21"/>
      <c r="V21" s="21"/>
      <c r="W21" s="21"/>
      <c r="X21" s="21"/>
      <c r="Y21" s="21"/>
      <c r="Z21" s="21"/>
      <c r="AA21" s="21"/>
      <c r="AB21" s="21">
        <f>SUM(E21:AA21)</f>
        <v>0</v>
      </c>
    </row>
    <row r="22" spans="1:52" ht="13.5" customHeight="1" outlineLevel="2" thickBot="1" x14ac:dyDescent="0.3">
      <c r="A22" s="18">
        <v>3</v>
      </c>
      <c r="B22" s="29"/>
      <c r="C22" s="29"/>
      <c r="D22" s="20" t="s">
        <v>79</v>
      </c>
      <c r="E22" s="21"/>
      <c r="F22" s="21"/>
      <c r="G22" s="21"/>
      <c r="H22" s="21"/>
      <c r="I22" s="21"/>
      <c r="J22" s="21"/>
      <c r="K22" s="21"/>
      <c r="L22" s="21"/>
      <c r="M22" s="21"/>
      <c r="N22" s="21"/>
      <c r="O22" s="21"/>
      <c r="P22" s="21"/>
      <c r="Q22" s="21"/>
      <c r="R22" s="21"/>
      <c r="S22" s="21"/>
      <c r="T22" s="21"/>
      <c r="U22" s="21"/>
      <c r="V22" s="21"/>
      <c r="W22" s="21"/>
      <c r="X22" s="21"/>
      <c r="Y22" s="21"/>
      <c r="Z22" s="21">
        <v>5</v>
      </c>
      <c r="AA22" s="21"/>
      <c r="AB22" s="21">
        <f>SUM(E22:AA22)</f>
        <v>5</v>
      </c>
    </row>
    <row r="23" spans="1:52" ht="18" customHeight="1" outlineLevel="2" thickBot="1" x14ac:dyDescent="0.3">
      <c r="A23" s="18">
        <v>4</v>
      </c>
      <c r="B23" s="30"/>
      <c r="C23" s="30"/>
      <c r="D23" s="20" t="s">
        <v>79</v>
      </c>
      <c r="E23" s="21"/>
      <c r="F23" s="21"/>
      <c r="G23" s="21"/>
      <c r="H23" s="21"/>
      <c r="I23" s="21"/>
      <c r="J23" s="21"/>
      <c r="K23" s="21"/>
      <c r="L23" s="21"/>
      <c r="M23" s="21"/>
      <c r="N23" s="21"/>
      <c r="O23" s="21"/>
      <c r="P23" s="21"/>
      <c r="Q23" s="21"/>
      <c r="R23" s="21"/>
      <c r="S23" s="21"/>
      <c r="T23" s="21"/>
      <c r="U23" s="21"/>
      <c r="V23" s="21"/>
      <c r="W23" s="21"/>
      <c r="X23" s="21"/>
      <c r="Y23" s="21"/>
      <c r="Z23" s="21"/>
      <c r="AA23" s="21"/>
      <c r="AB23" s="21">
        <f>SUM(E23:AA23)</f>
        <v>0</v>
      </c>
    </row>
    <row r="24" spans="1:52" ht="29.25" customHeight="1" outlineLevel="1" thickBot="1" x14ac:dyDescent="0.3">
      <c r="A24" s="18"/>
      <c r="B24" s="24"/>
      <c r="C24" s="24"/>
      <c r="D24" s="25" t="s">
        <v>80</v>
      </c>
      <c r="E24" s="26">
        <f>SUBTOTAL(9,E20:E23)</f>
        <v>0</v>
      </c>
      <c r="F24" s="26">
        <f t="shared" ref="F24:AB24" si="2">SUBTOTAL(9,F20:F23)</f>
        <v>0</v>
      </c>
      <c r="G24" s="26">
        <f t="shared" si="2"/>
        <v>0</v>
      </c>
      <c r="H24" s="26">
        <f t="shared" si="2"/>
        <v>0</v>
      </c>
      <c r="I24" s="26">
        <f t="shared" si="2"/>
        <v>0</v>
      </c>
      <c r="J24" s="26">
        <f t="shared" si="2"/>
        <v>0</v>
      </c>
      <c r="K24" s="26">
        <f t="shared" si="2"/>
        <v>0</v>
      </c>
      <c r="L24" s="26">
        <f t="shared" si="2"/>
        <v>0</v>
      </c>
      <c r="M24" s="26">
        <f t="shared" si="2"/>
        <v>0</v>
      </c>
      <c r="N24" s="26">
        <f t="shared" si="2"/>
        <v>0</v>
      </c>
      <c r="O24" s="26">
        <f t="shared" si="2"/>
        <v>0</v>
      </c>
      <c r="P24" s="26">
        <f t="shared" si="2"/>
        <v>0</v>
      </c>
      <c r="Q24" s="26">
        <f t="shared" si="2"/>
        <v>0</v>
      </c>
      <c r="R24" s="26">
        <f t="shared" si="2"/>
        <v>0</v>
      </c>
      <c r="S24" s="26">
        <f t="shared" si="2"/>
        <v>0</v>
      </c>
      <c r="T24" s="26">
        <f t="shared" si="2"/>
        <v>0</v>
      </c>
      <c r="U24" s="26">
        <f t="shared" si="2"/>
        <v>0</v>
      </c>
      <c r="V24" s="26">
        <f t="shared" si="2"/>
        <v>0</v>
      </c>
      <c r="W24" s="26">
        <f t="shared" si="2"/>
        <v>0</v>
      </c>
      <c r="X24" s="26">
        <f t="shared" si="2"/>
        <v>0</v>
      </c>
      <c r="Y24" s="26">
        <f t="shared" si="2"/>
        <v>0</v>
      </c>
      <c r="Z24" s="26">
        <f t="shared" si="2"/>
        <v>5</v>
      </c>
      <c r="AA24" s="26">
        <f t="shared" si="2"/>
        <v>0</v>
      </c>
      <c r="AB24" s="26">
        <f t="shared" si="2"/>
        <v>5</v>
      </c>
      <c r="AZ24" s="16">
        <f>SUBTOTAL(9,AZ20:AZ23)</f>
        <v>0</v>
      </c>
    </row>
    <row r="25" spans="1:52" ht="13.5" outlineLevel="2" thickBot="1" x14ac:dyDescent="0.3">
      <c r="A25" s="18">
        <v>1</v>
      </c>
      <c r="B25" s="19"/>
      <c r="C25" s="19"/>
      <c r="D25" s="20" t="s">
        <v>81</v>
      </c>
      <c r="E25" s="21"/>
      <c r="F25" s="21"/>
      <c r="G25" s="21"/>
      <c r="H25" s="21"/>
      <c r="I25" s="21"/>
      <c r="J25" s="21"/>
      <c r="K25" s="21"/>
      <c r="L25" s="21"/>
      <c r="M25" s="21"/>
      <c r="N25" s="21"/>
      <c r="O25" s="21"/>
      <c r="P25" s="21"/>
      <c r="Q25" s="21"/>
      <c r="R25" s="21"/>
      <c r="S25" s="21"/>
      <c r="T25" s="21"/>
      <c r="U25" s="21"/>
      <c r="V25" s="21"/>
      <c r="W25" s="21"/>
      <c r="X25" s="21"/>
      <c r="Y25" s="21"/>
      <c r="Z25" s="21"/>
      <c r="AA25" s="21"/>
      <c r="AB25" s="21">
        <f>SUM(E25:AA25)</f>
        <v>0</v>
      </c>
      <c r="AD25" s="23"/>
    </row>
    <row r="26" spans="1:52" ht="13.5" outlineLevel="2" thickBot="1" x14ac:dyDescent="0.3">
      <c r="A26" s="18">
        <v>2</v>
      </c>
      <c r="B26" s="24"/>
      <c r="C26" s="24"/>
      <c r="D26" s="20" t="s">
        <v>81</v>
      </c>
      <c r="E26" s="21"/>
      <c r="F26" s="21"/>
      <c r="G26" s="21"/>
      <c r="H26" s="21"/>
      <c r="I26" s="21"/>
      <c r="J26" s="21"/>
      <c r="K26" s="21"/>
      <c r="L26" s="21"/>
      <c r="M26" s="21"/>
      <c r="N26" s="21"/>
      <c r="O26" s="21"/>
      <c r="P26" s="21"/>
      <c r="Q26" s="21"/>
      <c r="R26" s="21"/>
      <c r="S26" s="21"/>
      <c r="T26" s="21"/>
      <c r="U26" s="21"/>
      <c r="V26" s="21"/>
      <c r="W26" s="21"/>
      <c r="X26" s="21"/>
      <c r="Y26" s="21"/>
      <c r="Z26" s="21"/>
      <c r="AA26" s="21"/>
      <c r="AB26" s="21">
        <f>SUM(E26:AA26)</f>
        <v>0</v>
      </c>
    </row>
    <row r="27" spans="1:52" ht="13.5" outlineLevel="2" thickBot="1" x14ac:dyDescent="0.3">
      <c r="A27" s="18">
        <v>3</v>
      </c>
      <c r="B27" s="24"/>
      <c r="C27" s="24"/>
      <c r="D27" s="20" t="s">
        <v>81</v>
      </c>
      <c r="E27" s="21"/>
      <c r="F27" s="21"/>
      <c r="G27" s="21"/>
      <c r="H27" s="21"/>
      <c r="I27" s="21"/>
      <c r="J27" s="21"/>
      <c r="K27" s="21"/>
      <c r="L27" s="21"/>
      <c r="M27" s="21"/>
      <c r="N27" s="21"/>
      <c r="O27" s="21"/>
      <c r="P27" s="21"/>
      <c r="Q27" s="21"/>
      <c r="R27" s="21"/>
      <c r="S27" s="21"/>
      <c r="T27" s="21"/>
      <c r="U27" s="21"/>
      <c r="V27" s="21"/>
      <c r="W27" s="21"/>
      <c r="X27" s="21"/>
      <c r="Y27" s="21"/>
      <c r="Z27" s="21"/>
      <c r="AA27" s="21"/>
      <c r="AB27" s="21">
        <f>SUM(E27:AA27)</f>
        <v>0</v>
      </c>
    </row>
    <row r="28" spans="1:52" ht="13.5" outlineLevel="2" thickBot="1" x14ac:dyDescent="0.3">
      <c r="A28" s="18">
        <v>4</v>
      </c>
      <c r="B28" s="19"/>
      <c r="C28" s="19"/>
      <c r="D28" s="20" t="s">
        <v>81</v>
      </c>
      <c r="E28" s="21"/>
      <c r="F28" s="21"/>
      <c r="G28" s="21"/>
      <c r="H28" s="21"/>
      <c r="I28" s="21"/>
      <c r="J28" s="21"/>
      <c r="K28" s="21"/>
      <c r="L28" s="21"/>
      <c r="M28" s="21"/>
      <c r="N28" s="21"/>
      <c r="O28" s="21"/>
      <c r="P28" s="21"/>
      <c r="Q28" s="21"/>
      <c r="R28" s="21"/>
      <c r="S28" s="21"/>
      <c r="T28" s="21"/>
      <c r="U28" s="21"/>
      <c r="V28" s="21"/>
      <c r="W28" s="21"/>
      <c r="X28" s="21"/>
      <c r="Y28" s="21"/>
      <c r="Z28" s="21"/>
      <c r="AA28" s="21"/>
      <c r="AB28" s="21">
        <f>SUM(E28:AA28)</f>
        <v>0</v>
      </c>
    </row>
    <row r="29" spans="1:52" ht="13.5" outlineLevel="1" thickBot="1" x14ac:dyDescent="0.3">
      <c r="A29" s="18"/>
      <c r="B29" s="24"/>
      <c r="C29" s="24"/>
      <c r="D29" s="25" t="s">
        <v>82</v>
      </c>
      <c r="E29" s="26">
        <f t="shared" ref="E29:AB29" si="3">SUBTOTAL(9,E25:E28)</f>
        <v>0</v>
      </c>
      <c r="F29" s="26">
        <f t="shared" si="3"/>
        <v>0</v>
      </c>
      <c r="G29" s="26">
        <f t="shared" si="3"/>
        <v>0</v>
      </c>
      <c r="H29" s="26">
        <f t="shared" si="3"/>
        <v>0</v>
      </c>
      <c r="I29" s="26">
        <f t="shared" si="3"/>
        <v>0</v>
      </c>
      <c r="J29" s="26">
        <f t="shared" si="3"/>
        <v>0</v>
      </c>
      <c r="K29" s="26">
        <f t="shared" si="3"/>
        <v>0</v>
      </c>
      <c r="L29" s="26">
        <f t="shared" si="3"/>
        <v>0</v>
      </c>
      <c r="M29" s="26">
        <f t="shared" si="3"/>
        <v>0</v>
      </c>
      <c r="N29" s="26">
        <f t="shared" si="3"/>
        <v>0</v>
      </c>
      <c r="O29" s="26">
        <f t="shared" si="3"/>
        <v>0</v>
      </c>
      <c r="P29" s="26">
        <f t="shared" si="3"/>
        <v>0</v>
      </c>
      <c r="Q29" s="26">
        <f t="shared" si="3"/>
        <v>0</v>
      </c>
      <c r="R29" s="26">
        <f t="shared" si="3"/>
        <v>0</v>
      </c>
      <c r="S29" s="26">
        <f t="shared" si="3"/>
        <v>0</v>
      </c>
      <c r="T29" s="26">
        <f t="shared" si="3"/>
        <v>0</v>
      </c>
      <c r="U29" s="26">
        <f t="shared" si="3"/>
        <v>0</v>
      </c>
      <c r="V29" s="26">
        <f t="shared" si="3"/>
        <v>0</v>
      </c>
      <c r="W29" s="26">
        <f t="shared" si="3"/>
        <v>0</v>
      </c>
      <c r="X29" s="26">
        <f t="shared" si="3"/>
        <v>0</v>
      </c>
      <c r="Y29" s="26">
        <f t="shared" si="3"/>
        <v>0</v>
      </c>
      <c r="Z29" s="26">
        <f t="shared" si="3"/>
        <v>0</v>
      </c>
      <c r="AA29" s="26">
        <f t="shared" si="3"/>
        <v>0</v>
      </c>
      <c r="AB29" s="26">
        <f t="shared" si="3"/>
        <v>0</v>
      </c>
      <c r="AZ29" s="16">
        <f>SUBTOTAL(9,AZ25:AZ28)</f>
        <v>0</v>
      </c>
    </row>
    <row r="30" spans="1:52" ht="15" customHeight="1" outlineLevel="2" thickBot="1" x14ac:dyDescent="0.3">
      <c r="A30" s="18">
        <v>1</v>
      </c>
      <c r="B30" s="24"/>
      <c r="C30" s="24"/>
      <c r="D30" s="20" t="str">
        <v>Maní</v>
      </c>
      <c r="E30" s="21"/>
      <c r="F30" s="21"/>
      <c r="G30" s="21"/>
      <c r="H30" s="21"/>
      <c r="I30" s="21"/>
      <c r="J30" s="21"/>
      <c r="K30" s="21"/>
      <c r="L30" s="21"/>
      <c r="M30" s="21"/>
      <c r="N30" s="21"/>
      <c r="O30" s="21"/>
      <c r="P30" s="21"/>
      <c r="Q30" s="21"/>
      <c r="R30" s="21"/>
      <c r="S30" s="21"/>
      <c r="T30" s="21"/>
      <c r="U30" s="21"/>
      <c r="V30" s="21"/>
      <c r="W30" s="21"/>
      <c r="X30" s="21"/>
      <c r="Y30" s="21"/>
      <c r="Z30" s="21"/>
      <c r="AA30" s="21"/>
      <c r="AB30" s="21">
        <f>SUM(E30:AA30)</f>
        <v>0</v>
      </c>
      <c r="AD30" s="23"/>
    </row>
    <row r="31" spans="1:52" ht="13.5" outlineLevel="2" thickBot="1" x14ac:dyDescent="0.3">
      <c r="A31" s="18">
        <v>2</v>
      </c>
      <c r="B31" s="24"/>
      <c r="C31" s="24"/>
      <c r="D31" s="20" t="str">
        <v>Maní</v>
      </c>
      <c r="E31" s="21"/>
      <c r="F31" s="21"/>
      <c r="G31" s="21"/>
      <c r="H31" s="21"/>
      <c r="I31" s="21"/>
      <c r="J31" s="21"/>
      <c r="K31" s="21"/>
      <c r="L31" s="21"/>
      <c r="M31" s="21"/>
      <c r="N31" s="21"/>
      <c r="O31" s="21"/>
      <c r="P31" s="21"/>
      <c r="Q31" s="21"/>
      <c r="R31" s="21"/>
      <c r="S31" s="21"/>
      <c r="T31" s="21"/>
      <c r="U31" s="21"/>
      <c r="V31" s="21"/>
      <c r="W31" s="21"/>
      <c r="X31" s="21"/>
      <c r="Y31" s="21"/>
      <c r="Z31" s="21"/>
      <c r="AA31" s="21"/>
      <c r="AB31" s="21">
        <f>SUM(E31:AA31)</f>
        <v>0</v>
      </c>
    </row>
    <row r="32" spans="1:52" ht="13.5" outlineLevel="2" thickBot="1" x14ac:dyDescent="0.3">
      <c r="A32" s="18">
        <v>3</v>
      </c>
      <c r="B32" s="24"/>
      <c r="C32" s="24"/>
      <c r="D32" s="20" t="str">
        <v>Maní</v>
      </c>
      <c r="E32" s="21"/>
      <c r="F32" s="21"/>
      <c r="G32" s="21"/>
      <c r="H32" s="21"/>
      <c r="I32" s="21"/>
      <c r="J32" s="21"/>
      <c r="K32" s="21"/>
      <c r="L32" s="21"/>
      <c r="M32" s="21"/>
      <c r="N32" s="21"/>
      <c r="O32" s="21"/>
      <c r="P32" s="21"/>
      <c r="Q32" s="21"/>
      <c r="R32" s="21"/>
      <c r="S32" s="21"/>
      <c r="T32" s="21"/>
      <c r="U32" s="21"/>
      <c r="V32" s="21"/>
      <c r="W32" s="21"/>
      <c r="X32" s="21"/>
      <c r="Y32" s="21"/>
      <c r="Z32" s="21"/>
      <c r="AA32" s="21"/>
      <c r="AB32" s="21">
        <f>SUM(E32:AA32)</f>
        <v>0</v>
      </c>
    </row>
    <row r="33" spans="1:52" ht="18" customHeight="1" outlineLevel="2" thickBot="1" x14ac:dyDescent="0.3">
      <c r="A33" s="18">
        <v>4</v>
      </c>
      <c r="B33" s="24"/>
      <c r="C33" s="24"/>
      <c r="D33" s="20" t="str">
        <v>Maní</v>
      </c>
      <c r="E33" s="21">
        <v>5</v>
      </c>
      <c r="F33" s="21"/>
      <c r="G33" s="21"/>
      <c r="H33" s="21"/>
      <c r="I33" s="21"/>
      <c r="J33" s="21"/>
      <c r="K33" s="21"/>
      <c r="L33" s="21"/>
      <c r="M33" s="21"/>
      <c r="N33" s="21"/>
      <c r="O33" s="21"/>
      <c r="P33" s="21"/>
      <c r="Q33" s="21"/>
      <c r="R33" s="21"/>
      <c r="S33" s="21"/>
      <c r="T33" s="21"/>
      <c r="U33" s="21"/>
      <c r="V33" s="21"/>
      <c r="W33" s="21"/>
      <c r="X33" s="21"/>
      <c r="Y33" s="21"/>
      <c r="Z33" s="21"/>
      <c r="AA33" s="21">
        <v>3</v>
      </c>
      <c r="AB33" s="21">
        <f>SUM(E33:AA33)</f>
        <v>8</v>
      </c>
    </row>
    <row r="34" spans="1:52" s="32" customFormat="1" ht="13.5" outlineLevel="1" thickBot="1" x14ac:dyDescent="0.35">
      <c r="A34" s="18"/>
      <c r="B34" s="31"/>
      <c r="C34" s="31"/>
      <c r="D34" s="25" t="s">
        <v>83</v>
      </c>
      <c r="E34" s="26">
        <f t="shared" ref="E34:AB34" si="4">SUBTOTAL(9,E30:E33)</f>
        <v>5</v>
      </c>
      <c r="F34" s="26">
        <f t="shared" si="4"/>
        <v>0</v>
      </c>
      <c r="G34" s="26">
        <f t="shared" si="4"/>
        <v>0</v>
      </c>
      <c r="H34" s="26">
        <f t="shared" si="4"/>
        <v>0</v>
      </c>
      <c r="I34" s="26">
        <f t="shared" si="4"/>
        <v>0</v>
      </c>
      <c r="J34" s="26">
        <f t="shared" si="4"/>
        <v>0</v>
      </c>
      <c r="K34" s="26">
        <f t="shared" si="4"/>
        <v>0</v>
      </c>
      <c r="L34" s="26">
        <f t="shared" si="4"/>
        <v>0</v>
      </c>
      <c r="M34" s="26">
        <f t="shared" si="4"/>
        <v>0</v>
      </c>
      <c r="N34" s="26">
        <f t="shared" si="4"/>
        <v>0</v>
      </c>
      <c r="O34" s="26">
        <f t="shared" si="4"/>
        <v>0</v>
      </c>
      <c r="P34" s="26">
        <f t="shared" si="4"/>
        <v>0</v>
      </c>
      <c r="Q34" s="26">
        <f t="shared" si="4"/>
        <v>0</v>
      </c>
      <c r="R34" s="26">
        <f t="shared" si="4"/>
        <v>0</v>
      </c>
      <c r="S34" s="26">
        <f t="shared" si="4"/>
        <v>0</v>
      </c>
      <c r="T34" s="26">
        <f t="shared" si="4"/>
        <v>0</v>
      </c>
      <c r="U34" s="26">
        <f t="shared" si="4"/>
        <v>0</v>
      </c>
      <c r="V34" s="26">
        <f t="shared" si="4"/>
        <v>0</v>
      </c>
      <c r="W34" s="26">
        <f t="shared" si="4"/>
        <v>0</v>
      </c>
      <c r="X34" s="26">
        <f t="shared" si="4"/>
        <v>0</v>
      </c>
      <c r="Y34" s="26">
        <f t="shared" si="4"/>
        <v>0</v>
      </c>
      <c r="Z34" s="26">
        <f t="shared" si="4"/>
        <v>0</v>
      </c>
      <c r="AA34" s="26">
        <f t="shared" si="4"/>
        <v>3</v>
      </c>
      <c r="AB34" s="26">
        <f t="shared" si="4"/>
        <v>8</v>
      </c>
      <c r="AZ34" s="32">
        <f>SUBTOTAL(9,AZ30:AZ33)</f>
        <v>0</v>
      </c>
    </row>
    <row r="35" spans="1:52" ht="13.5" outlineLevel="2" thickBot="1" x14ac:dyDescent="0.3">
      <c r="A35" s="18">
        <v>1</v>
      </c>
      <c r="B35" s="19"/>
      <c r="C35" s="19"/>
      <c r="D35" s="20" t="s">
        <v>84</v>
      </c>
      <c r="E35" s="21"/>
      <c r="F35" s="21"/>
      <c r="G35" s="21"/>
      <c r="H35" s="21"/>
      <c r="I35" s="21"/>
      <c r="J35" s="21"/>
      <c r="K35" s="21"/>
      <c r="L35" s="21"/>
      <c r="M35" s="21"/>
      <c r="N35" s="21"/>
      <c r="O35" s="21"/>
      <c r="P35" s="21"/>
      <c r="Q35" s="21"/>
      <c r="R35" s="21"/>
      <c r="S35" s="21"/>
      <c r="T35" s="21"/>
      <c r="U35" s="21"/>
      <c r="V35" s="21"/>
      <c r="W35" s="21"/>
      <c r="X35" s="21"/>
      <c r="Y35" s="21"/>
      <c r="Z35" s="21"/>
      <c r="AA35" s="21"/>
      <c r="AB35" s="21">
        <f>SUM(E35:AA35)</f>
        <v>0</v>
      </c>
    </row>
    <row r="36" spans="1:52" ht="13.5" outlineLevel="2" thickBot="1" x14ac:dyDescent="0.3">
      <c r="A36" s="18">
        <v>2</v>
      </c>
      <c r="B36" s="24"/>
      <c r="C36" s="24"/>
      <c r="D36" s="20" t="s">
        <v>84</v>
      </c>
      <c r="E36" s="21"/>
      <c r="F36" s="21"/>
      <c r="G36" s="21"/>
      <c r="H36" s="21"/>
      <c r="I36" s="21"/>
      <c r="J36" s="21"/>
      <c r="K36" s="21"/>
      <c r="L36" s="21"/>
      <c r="M36" s="21"/>
      <c r="N36" s="21"/>
      <c r="O36" s="21"/>
      <c r="P36" s="21"/>
      <c r="Q36" s="21"/>
      <c r="R36" s="21"/>
      <c r="S36" s="21"/>
      <c r="T36" s="21"/>
      <c r="U36" s="21"/>
      <c r="V36" s="21"/>
      <c r="W36" s="21"/>
      <c r="X36" s="21"/>
      <c r="Y36" s="21"/>
      <c r="Z36" s="21"/>
      <c r="AA36" s="21"/>
      <c r="AB36" s="21">
        <f>SUM(E36:AA36)</f>
        <v>0</v>
      </c>
    </row>
    <row r="37" spans="1:52" ht="13.5" outlineLevel="2" thickBot="1" x14ac:dyDescent="0.3">
      <c r="A37" s="18">
        <v>3</v>
      </c>
      <c r="B37" s="24"/>
      <c r="C37" s="24"/>
      <c r="D37" s="20" t="s">
        <v>84</v>
      </c>
      <c r="E37" s="21"/>
      <c r="F37" s="21"/>
      <c r="G37" s="21"/>
      <c r="H37" s="21"/>
      <c r="I37" s="21"/>
      <c r="J37" s="21"/>
      <c r="K37" s="21"/>
      <c r="L37" s="21"/>
      <c r="M37" s="21"/>
      <c r="N37" s="21"/>
      <c r="O37" s="21"/>
      <c r="P37" s="21"/>
      <c r="Q37" s="21"/>
      <c r="R37" s="21"/>
      <c r="S37" s="21"/>
      <c r="T37" s="21"/>
      <c r="U37" s="21"/>
      <c r="V37" s="21"/>
      <c r="W37" s="21">
        <v>5</v>
      </c>
      <c r="X37" s="21"/>
      <c r="Y37" s="21"/>
      <c r="Z37" s="21"/>
      <c r="AA37" s="21"/>
      <c r="AB37" s="21">
        <f>SUM(E37:AA37)</f>
        <v>5</v>
      </c>
    </row>
    <row r="38" spans="1:52" ht="13.5" outlineLevel="2" thickBot="1" x14ac:dyDescent="0.3">
      <c r="A38" s="18">
        <v>4</v>
      </c>
      <c r="B38" s="19"/>
      <c r="C38" s="19"/>
      <c r="D38" s="20" t="s">
        <v>84</v>
      </c>
      <c r="E38" s="21"/>
      <c r="F38" s="21"/>
      <c r="G38" s="21"/>
      <c r="H38" s="21"/>
      <c r="I38" s="21"/>
      <c r="J38" s="21"/>
      <c r="K38" s="21"/>
      <c r="L38" s="21"/>
      <c r="M38" s="21"/>
      <c r="N38" s="21"/>
      <c r="O38" s="21"/>
      <c r="P38" s="21"/>
      <c r="Q38" s="21"/>
      <c r="R38" s="21"/>
      <c r="S38" s="21"/>
      <c r="T38" s="21"/>
      <c r="U38" s="21"/>
      <c r="V38" s="21"/>
      <c r="W38" s="21"/>
      <c r="X38" s="21"/>
      <c r="Y38" s="21"/>
      <c r="Z38" s="21"/>
      <c r="AA38" s="21"/>
      <c r="AB38" s="21">
        <f>SUM(E38:AA38)</f>
        <v>0</v>
      </c>
    </row>
    <row r="39" spans="1:52" ht="13.5" outlineLevel="1" thickBot="1" x14ac:dyDescent="0.3">
      <c r="A39" s="18"/>
      <c r="B39" s="24"/>
      <c r="C39" s="24"/>
      <c r="D39" s="25" t="s">
        <v>85</v>
      </c>
      <c r="E39" s="26">
        <f t="shared" ref="E39:AB39" si="5">SUBTOTAL(9,E35:E38)</f>
        <v>0</v>
      </c>
      <c r="F39" s="26">
        <f t="shared" si="5"/>
        <v>0</v>
      </c>
      <c r="G39" s="26">
        <f t="shared" si="5"/>
        <v>0</v>
      </c>
      <c r="H39" s="26">
        <f t="shared" si="5"/>
        <v>0</v>
      </c>
      <c r="I39" s="26">
        <f t="shared" si="5"/>
        <v>0</v>
      </c>
      <c r="J39" s="26">
        <f t="shared" si="5"/>
        <v>0</v>
      </c>
      <c r="K39" s="26">
        <f t="shared" si="5"/>
        <v>0</v>
      </c>
      <c r="L39" s="26">
        <f t="shared" si="5"/>
        <v>0</v>
      </c>
      <c r="M39" s="26">
        <f t="shared" si="5"/>
        <v>0</v>
      </c>
      <c r="N39" s="26">
        <f t="shared" si="5"/>
        <v>0</v>
      </c>
      <c r="O39" s="26">
        <f t="shared" si="5"/>
        <v>0</v>
      </c>
      <c r="P39" s="26">
        <f t="shared" si="5"/>
        <v>0</v>
      </c>
      <c r="Q39" s="26">
        <f t="shared" si="5"/>
        <v>0</v>
      </c>
      <c r="R39" s="26">
        <f t="shared" si="5"/>
        <v>0</v>
      </c>
      <c r="S39" s="26">
        <f t="shared" si="5"/>
        <v>0</v>
      </c>
      <c r="T39" s="26">
        <f t="shared" si="5"/>
        <v>0</v>
      </c>
      <c r="U39" s="26">
        <f t="shared" si="5"/>
        <v>0</v>
      </c>
      <c r="V39" s="26">
        <f t="shared" si="5"/>
        <v>0</v>
      </c>
      <c r="W39" s="26">
        <f t="shared" si="5"/>
        <v>5</v>
      </c>
      <c r="X39" s="26">
        <f t="shared" si="5"/>
        <v>0</v>
      </c>
      <c r="Y39" s="26">
        <f t="shared" si="5"/>
        <v>0</v>
      </c>
      <c r="Z39" s="26">
        <f t="shared" si="5"/>
        <v>0</v>
      </c>
      <c r="AA39" s="26">
        <f t="shared" si="5"/>
        <v>0</v>
      </c>
      <c r="AB39" s="26">
        <f t="shared" si="5"/>
        <v>5</v>
      </c>
      <c r="AZ39" s="16">
        <f>SUBTOTAL(9,AZ35:AZ38)</f>
        <v>0</v>
      </c>
    </row>
    <row r="40" spans="1:52" ht="13.5" outlineLevel="2" thickBot="1" x14ac:dyDescent="0.3">
      <c r="A40" s="18">
        <v>1</v>
      </c>
      <c r="B40" s="19"/>
      <c r="C40" s="19"/>
      <c r="D40" s="20" t="s">
        <v>86</v>
      </c>
      <c r="E40" s="26"/>
      <c r="F40" s="26"/>
      <c r="G40" s="26"/>
      <c r="H40" s="26"/>
      <c r="I40" s="26"/>
      <c r="J40" s="26"/>
      <c r="K40" s="26"/>
      <c r="L40" s="26"/>
      <c r="M40" s="26"/>
      <c r="N40" s="26"/>
      <c r="O40" s="26"/>
      <c r="P40" s="26"/>
      <c r="Q40" s="26"/>
      <c r="R40" s="26"/>
      <c r="S40" s="26"/>
      <c r="T40" s="26"/>
      <c r="U40" s="26"/>
      <c r="V40" s="26"/>
      <c r="W40" s="26"/>
      <c r="X40" s="26"/>
      <c r="Y40" s="26"/>
      <c r="Z40" s="26"/>
      <c r="AA40" s="26"/>
      <c r="AB40" s="21">
        <f>SUM(E40:AA40)</f>
        <v>0</v>
      </c>
    </row>
    <row r="41" spans="1:52" ht="13.5" outlineLevel="2" thickBot="1" x14ac:dyDescent="0.3">
      <c r="A41" s="18">
        <v>2</v>
      </c>
      <c r="B41" s="24"/>
      <c r="C41" s="24"/>
      <c r="D41" s="20" t="s">
        <v>86</v>
      </c>
      <c r="E41" s="21"/>
      <c r="F41" s="21"/>
      <c r="G41" s="21"/>
      <c r="H41" s="21"/>
      <c r="I41" s="21"/>
      <c r="J41" s="21"/>
      <c r="K41" s="21"/>
      <c r="L41" s="21"/>
      <c r="M41" s="21"/>
      <c r="N41" s="21"/>
      <c r="O41" s="21"/>
      <c r="P41" s="21"/>
      <c r="Q41" s="21"/>
      <c r="R41" s="21"/>
      <c r="S41" s="21"/>
      <c r="T41" s="21"/>
      <c r="U41" s="21"/>
      <c r="V41" s="21"/>
      <c r="W41" s="21"/>
      <c r="X41" s="21"/>
      <c r="Y41" s="21"/>
      <c r="Z41" s="21"/>
      <c r="AA41" s="21"/>
      <c r="AB41" s="21">
        <f>SUM(E41:AA41)</f>
        <v>0</v>
      </c>
    </row>
    <row r="42" spans="1:52" ht="13.5" outlineLevel="2" thickBot="1" x14ac:dyDescent="0.3">
      <c r="A42" s="18">
        <v>3</v>
      </c>
      <c r="B42" s="24"/>
      <c r="C42" s="24"/>
      <c r="D42" s="20" t="s">
        <v>86</v>
      </c>
      <c r="E42" s="21"/>
      <c r="F42" s="21"/>
      <c r="G42" s="21"/>
      <c r="H42" s="21"/>
      <c r="I42" s="21"/>
      <c r="J42" s="21"/>
      <c r="K42" s="21"/>
      <c r="L42" s="21"/>
      <c r="M42" s="21"/>
      <c r="N42" s="21"/>
      <c r="O42" s="21"/>
      <c r="P42" s="21"/>
      <c r="Q42" s="21"/>
      <c r="R42" s="21"/>
      <c r="S42" s="21"/>
      <c r="T42" s="21"/>
      <c r="U42" s="21"/>
      <c r="V42" s="21"/>
      <c r="W42" s="21"/>
      <c r="X42" s="21"/>
      <c r="Y42" s="21"/>
      <c r="Z42" s="21"/>
      <c r="AA42" s="21"/>
      <c r="AB42" s="21">
        <f>SUM(E42:AA42)</f>
        <v>0</v>
      </c>
    </row>
    <row r="43" spans="1:52" ht="13.5" outlineLevel="2" thickBot="1" x14ac:dyDescent="0.3">
      <c r="A43" s="18">
        <v>4</v>
      </c>
      <c r="B43" s="19"/>
      <c r="C43" s="19"/>
      <c r="D43" s="20" t="s">
        <v>86</v>
      </c>
      <c r="E43" s="26"/>
      <c r="F43" s="26"/>
      <c r="G43" s="26"/>
      <c r="H43" s="26"/>
      <c r="I43" s="26"/>
      <c r="J43" s="26"/>
      <c r="K43" s="26"/>
      <c r="L43" s="26"/>
      <c r="M43" s="26"/>
      <c r="N43" s="26"/>
      <c r="O43" s="26"/>
      <c r="P43" s="26"/>
      <c r="Q43" s="26"/>
      <c r="R43" s="26"/>
      <c r="S43" s="26"/>
      <c r="T43" s="26"/>
      <c r="U43" s="26"/>
      <c r="V43" s="26"/>
      <c r="W43" s="26">
        <v>5</v>
      </c>
      <c r="X43" s="26"/>
      <c r="Y43" s="26"/>
      <c r="Z43" s="26"/>
      <c r="AA43" s="26"/>
      <c r="AB43" s="21">
        <f>SUM(E43:AA43)</f>
        <v>5</v>
      </c>
    </row>
    <row r="44" spans="1:52" ht="13.5" outlineLevel="1" thickBot="1" x14ac:dyDescent="0.3">
      <c r="A44" s="18"/>
      <c r="B44" s="24"/>
      <c r="C44" s="24"/>
      <c r="D44" s="25" t="s">
        <v>87</v>
      </c>
      <c r="E44" s="26">
        <f t="shared" ref="E44:AB44" si="6">SUBTOTAL(9,E40:E43)</f>
        <v>0</v>
      </c>
      <c r="F44" s="26">
        <f t="shared" si="6"/>
        <v>0</v>
      </c>
      <c r="G44" s="26">
        <f t="shared" si="6"/>
        <v>0</v>
      </c>
      <c r="H44" s="26">
        <f t="shared" si="6"/>
        <v>0</v>
      </c>
      <c r="I44" s="26">
        <f t="shared" si="6"/>
        <v>0</v>
      </c>
      <c r="J44" s="26">
        <f t="shared" si="6"/>
        <v>0</v>
      </c>
      <c r="K44" s="26">
        <f t="shared" si="6"/>
        <v>0</v>
      </c>
      <c r="L44" s="26">
        <f t="shared" si="6"/>
        <v>0</v>
      </c>
      <c r="M44" s="26">
        <f t="shared" si="6"/>
        <v>0</v>
      </c>
      <c r="N44" s="26">
        <f t="shared" si="6"/>
        <v>0</v>
      </c>
      <c r="O44" s="26">
        <f t="shared" si="6"/>
        <v>0</v>
      </c>
      <c r="P44" s="26">
        <f t="shared" si="6"/>
        <v>0</v>
      </c>
      <c r="Q44" s="26">
        <f t="shared" si="6"/>
        <v>0</v>
      </c>
      <c r="R44" s="26">
        <f t="shared" si="6"/>
        <v>0</v>
      </c>
      <c r="S44" s="26">
        <f t="shared" si="6"/>
        <v>0</v>
      </c>
      <c r="T44" s="26">
        <f t="shared" si="6"/>
        <v>0</v>
      </c>
      <c r="U44" s="26">
        <f t="shared" si="6"/>
        <v>0</v>
      </c>
      <c r="V44" s="26">
        <f t="shared" si="6"/>
        <v>0</v>
      </c>
      <c r="W44" s="26">
        <f t="shared" si="6"/>
        <v>5</v>
      </c>
      <c r="X44" s="26">
        <f t="shared" si="6"/>
        <v>0</v>
      </c>
      <c r="Y44" s="26">
        <f t="shared" si="6"/>
        <v>0</v>
      </c>
      <c r="Z44" s="26">
        <f t="shared" si="6"/>
        <v>0</v>
      </c>
      <c r="AA44" s="26">
        <f t="shared" si="6"/>
        <v>0</v>
      </c>
      <c r="AB44" s="26">
        <f t="shared" si="6"/>
        <v>5</v>
      </c>
      <c r="AZ44" s="16">
        <f>SUBTOTAL(9,AZ40:AZ43)</f>
        <v>0</v>
      </c>
    </row>
    <row r="45" spans="1:52" ht="13.5" outlineLevel="2" thickBot="1" x14ac:dyDescent="0.3">
      <c r="A45" s="18">
        <v>1</v>
      </c>
      <c r="B45" s="19"/>
      <c r="C45" s="19"/>
      <c r="D45" s="20" t="s">
        <v>88</v>
      </c>
      <c r="E45" s="26"/>
      <c r="F45" s="26"/>
      <c r="G45" s="26"/>
      <c r="H45" s="26"/>
      <c r="I45" s="26"/>
      <c r="J45" s="26"/>
      <c r="K45" s="26"/>
      <c r="L45" s="26"/>
      <c r="M45" s="26"/>
      <c r="N45" s="26"/>
      <c r="O45" s="26"/>
      <c r="P45" s="26"/>
      <c r="Q45" s="26"/>
      <c r="R45" s="26"/>
      <c r="S45" s="26"/>
      <c r="T45" s="26"/>
      <c r="U45" s="26"/>
      <c r="V45" s="26"/>
      <c r="W45" s="26"/>
      <c r="X45" s="26"/>
      <c r="Y45" s="26"/>
      <c r="Z45" s="26"/>
      <c r="AA45" s="26"/>
      <c r="AB45" s="21">
        <f>SUM(E45:AA45)</f>
        <v>0</v>
      </c>
    </row>
    <row r="46" spans="1:52" ht="13.5" outlineLevel="2" thickBot="1" x14ac:dyDescent="0.3">
      <c r="A46" s="18">
        <v>2</v>
      </c>
      <c r="B46" s="24"/>
      <c r="C46" s="24"/>
      <c r="D46" s="20" t="s">
        <v>88</v>
      </c>
      <c r="E46" s="21"/>
      <c r="F46" s="21"/>
      <c r="G46" s="21"/>
      <c r="H46" s="21"/>
      <c r="I46" s="21"/>
      <c r="J46" s="21"/>
      <c r="K46" s="21"/>
      <c r="L46" s="21"/>
      <c r="M46" s="21"/>
      <c r="N46" s="21"/>
      <c r="O46" s="21"/>
      <c r="P46" s="21"/>
      <c r="Q46" s="21"/>
      <c r="R46" s="21"/>
      <c r="S46" s="21"/>
      <c r="T46" s="21"/>
      <c r="U46" s="21"/>
      <c r="V46" s="21"/>
      <c r="W46" s="21"/>
      <c r="X46" s="21"/>
      <c r="Y46" s="21"/>
      <c r="Z46" s="21"/>
      <c r="AA46" s="21"/>
      <c r="AB46" s="21">
        <f>SUM(E46:AA46)</f>
        <v>0</v>
      </c>
    </row>
    <row r="47" spans="1:52" ht="13.5" outlineLevel="2" thickBot="1" x14ac:dyDescent="0.3">
      <c r="A47" s="18">
        <v>3</v>
      </c>
      <c r="B47" s="24"/>
      <c r="C47" s="24"/>
      <c r="D47" s="20" t="s">
        <v>88</v>
      </c>
      <c r="E47" s="21"/>
      <c r="F47" s="21"/>
      <c r="G47" s="21"/>
      <c r="H47" s="21"/>
      <c r="I47" s="21"/>
      <c r="J47" s="21"/>
      <c r="K47" s="21"/>
      <c r="L47" s="21"/>
      <c r="M47" s="21"/>
      <c r="N47" s="21"/>
      <c r="O47" s="21"/>
      <c r="P47" s="21"/>
      <c r="Q47" s="21"/>
      <c r="R47" s="21"/>
      <c r="S47" s="21"/>
      <c r="T47" s="21"/>
      <c r="U47" s="21"/>
      <c r="V47" s="21"/>
      <c r="W47" s="21"/>
      <c r="X47" s="21"/>
      <c r="Y47" s="21">
        <v>5</v>
      </c>
      <c r="Z47" s="21"/>
      <c r="AA47" s="21"/>
      <c r="AB47" s="21">
        <f>SUM(E47:AA47)</f>
        <v>5</v>
      </c>
    </row>
    <row r="48" spans="1:52" ht="13.5" outlineLevel="2" thickBot="1" x14ac:dyDescent="0.3">
      <c r="A48" s="18">
        <v>4</v>
      </c>
      <c r="B48" s="33"/>
      <c r="C48" s="33"/>
      <c r="D48" s="20" t="s">
        <v>88</v>
      </c>
      <c r="E48" s="21"/>
      <c r="F48" s="21"/>
      <c r="G48" s="21"/>
      <c r="H48" s="21"/>
      <c r="I48" s="21"/>
      <c r="J48" s="21"/>
      <c r="K48" s="21"/>
      <c r="L48" s="21"/>
      <c r="M48" s="21"/>
      <c r="N48" s="21"/>
      <c r="O48" s="21"/>
      <c r="P48" s="21"/>
      <c r="Q48" s="21"/>
      <c r="R48" s="21"/>
      <c r="S48" s="21"/>
      <c r="T48" s="21"/>
      <c r="U48" s="21"/>
      <c r="V48" s="21"/>
      <c r="W48" s="21"/>
      <c r="X48" s="21"/>
      <c r="Y48" s="21"/>
      <c r="Z48" s="21"/>
      <c r="AA48" s="21"/>
      <c r="AB48" s="21">
        <f>SUM(E48:AA48)</f>
        <v>0</v>
      </c>
    </row>
    <row r="49" spans="1:52" ht="13.5" outlineLevel="1" thickBot="1" x14ac:dyDescent="0.3">
      <c r="A49" s="18"/>
      <c r="B49" s="24"/>
      <c r="C49" s="24"/>
      <c r="D49" s="25" t="s">
        <v>89</v>
      </c>
      <c r="E49" s="26">
        <f t="shared" ref="E49:AB49" si="7">SUBTOTAL(9,E45:E48)</f>
        <v>0</v>
      </c>
      <c r="F49" s="26">
        <f t="shared" si="7"/>
        <v>0</v>
      </c>
      <c r="G49" s="26">
        <f t="shared" si="7"/>
        <v>0</v>
      </c>
      <c r="H49" s="26">
        <f t="shared" si="7"/>
        <v>0</v>
      </c>
      <c r="I49" s="26">
        <f t="shared" si="7"/>
        <v>0</v>
      </c>
      <c r="J49" s="26">
        <f t="shared" si="7"/>
        <v>0</v>
      </c>
      <c r="K49" s="26">
        <f t="shared" si="7"/>
        <v>0</v>
      </c>
      <c r="L49" s="26">
        <f t="shared" si="7"/>
        <v>0</v>
      </c>
      <c r="M49" s="26">
        <f t="shared" si="7"/>
        <v>0</v>
      </c>
      <c r="N49" s="26">
        <f t="shared" si="7"/>
        <v>0</v>
      </c>
      <c r="O49" s="26">
        <f t="shared" si="7"/>
        <v>0</v>
      </c>
      <c r="P49" s="26">
        <f t="shared" si="7"/>
        <v>0</v>
      </c>
      <c r="Q49" s="26">
        <f t="shared" si="7"/>
        <v>0</v>
      </c>
      <c r="R49" s="26">
        <f t="shared" si="7"/>
        <v>0</v>
      </c>
      <c r="S49" s="26">
        <f t="shared" si="7"/>
        <v>0</v>
      </c>
      <c r="T49" s="26">
        <f t="shared" si="7"/>
        <v>0</v>
      </c>
      <c r="U49" s="26">
        <f t="shared" si="7"/>
        <v>0</v>
      </c>
      <c r="V49" s="26">
        <f t="shared" si="7"/>
        <v>0</v>
      </c>
      <c r="W49" s="26">
        <f t="shared" si="7"/>
        <v>0</v>
      </c>
      <c r="X49" s="26">
        <f t="shared" si="7"/>
        <v>0</v>
      </c>
      <c r="Y49" s="26">
        <f t="shared" si="7"/>
        <v>5</v>
      </c>
      <c r="Z49" s="26">
        <f t="shared" si="7"/>
        <v>0</v>
      </c>
      <c r="AA49" s="26">
        <f t="shared" si="7"/>
        <v>0</v>
      </c>
      <c r="AB49" s="26">
        <f t="shared" si="7"/>
        <v>5</v>
      </c>
    </row>
    <row r="50" spans="1:52" ht="14.25" customHeight="1" outlineLevel="2" thickBot="1" x14ac:dyDescent="0.3">
      <c r="A50" s="18">
        <v>1</v>
      </c>
      <c r="B50" s="24"/>
      <c r="C50" s="24"/>
      <c r="D50" s="20" t="s">
        <v>90</v>
      </c>
      <c r="E50" s="26"/>
      <c r="F50" s="26"/>
      <c r="G50" s="26"/>
      <c r="H50" s="26"/>
      <c r="I50" s="26"/>
      <c r="J50" s="26"/>
      <c r="K50" s="26"/>
      <c r="L50" s="26"/>
      <c r="M50" s="26"/>
      <c r="N50" s="26"/>
      <c r="O50" s="26"/>
      <c r="P50" s="26"/>
      <c r="Q50" s="26"/>
      <c r="R50" s="26"/>
      <c r="S50" s="26"/>
      <c r="T50" s="26"/>
      <c r="U50" s="26"/>
      <c r="V50" s="26"/>
      <c r="W50" s="26"/>
      <c r="X50" s="26"/>
      <c r="Y50" s="26"/>
      <c r="Z50" s="26"/>
      <c r="AA50" s="26"/>
      <c r="AB50" s="21">
        <f>SUM(E50:AA50)</f>
        <v>0</v>
      </c>
      <c r="AD50" s="23"/>
    </row>
    <row r="51" spans="1:52" ht="13.5" outlineLevel="2" thickBot="1" x14ac:dyDescent="0.3">
      <c r="A51" s="18">
        <v>2</v>
      </c>
      <c r="B51" s="6"/>
      <c r="C51" s="6"/>
      <c r="D51" s="20" t="s">
        <v>90</v>
      </c>
      <c r="E51" s="21"/>
      <c r="F51" s="21"/>
      <c r="G51" s="21"/>
      <c r="H51" s="21"/>
      <c r="I51" s="21"/>
      <c r="J51" s="21"/>
      <c r="K51" s="21"/>
      <c r="L51" s="21"/>
      <c r="M51" s="21"/>
      <c r="N51" s="21"/>
      <c r="O51" s="21"/>
      <c r="P51" s="21"/>
      <c r="Q51" s="21"/>
      <c r="R51" s="21"/>
      <c r="S51" s="21"/>
      <c r="T51" s="21"/>
      <c r="U51" s="21"/>
      <c r="V51" s="21"/>
      <c r="W51" s="21"/>
      <c r="X51" s="21"/>
      <c r="Y51" s="21"/>
      <c r="Z51" s="21"/>
      <c r="AA51" s="21"/>
      <c r="AB51" s="21">
        <f>SUM(E51:AA51)</f>
        <v>0</v>
      </c>
      <c r="AC51" s="143"/>
      <c r="AD51" s="143"/>
      <c r="AE51" s="143"/>
      <c r="AF51" s="17"/>
      <c r="AG51" s="17"/>
      <c r="AH51" s="17"/>
      <c r="AI51" s="17"/>
      <c r="AJ51" s="17"/>
      <c r="AK51" s="17"/>
      <c r="AL51" s="17"/>
      <c r="AM51" s="17"/>
      <c r="AN51" s="17"/>
      <c r="AO51" s="17"/>
      <c r="AP51" s="17"/>
      <c r="AQ51" s="17"/>
      <c r="AR51" s="17"/>
      <c r="AS51" s="17"/>
      <c r="AT51" s="17"/>
      <c r="AU51" s="17"/>
      <c r="AV51" s="17"/>
      <c r="AW51" s="17"/>
      <c r="AX51" s="17"/>
      <c r="AY51" s="17"/>
      <c r="AZ51" s="17"/>
    </row>
    <row r="52" spans="1:52" ht="15" customHeight="1" outlineLevel="2" thickBot="1" x14ac:dyDescent="0.3">
      <c r="A52" s="18">
        <v>3</v>
      </c>
      <c r="B52" s="24"/>
      <c r="C52" s="24"/>
      <c r="D52" s="20" t="s">
        <v>90</v>
      </c>
      <c r="E52" s="21"/>
      <c r="F52" s="21"/>
      <c r="G52" s="21"/>
      <c r="H52" s="21"/>
      <c r="I52" s="21"/>
      <c r="J52" s="21"/>
      <c r="K52" s="21"/>
      <c r="L52" s="21"/>
      <c r="M52" s="21"/>
      <c r="N52" s="21"/>
      <c r="O52" s="21"/>
      <c r="P52" s="21"/>
      <c r="Q52" s="21"/>
      <c r="R52" s="21"/>
      <c r="S52" s="21"/>
      <c r="T52" s="21"/>
      <c r="U52" s="21"/>
      <c r="V52" s="21"/>
      <c r="W52" s="21"/>
      <c r="X52" s="21"/>
      <c r="Y52" s="21"/>
      <c r="Z52" s="21"/>
      <c r="AA52" s="21"/>
      <c r="AB52" s="21">
        <f>SUM(E52:AA52)</f>
        <v>0</v>
      </c>
      <c r="AC52" s="34"/>
      <c r="AD52" s="34"/>
      <c r="AF52" s="22"/>
      <c r="AG52" s="22"/>
      <c r="AH52" s="22"/>
      <c r="AI52" s="22"/>
      <c r="AJ52" s="22"/>
      <c r="AK52" s="22"/>
      <c r="AL52" s="22"/>
      <c r="AM52" s="22"/>
      <c r="AN52" s="22"/>
      <c r="AO52" s="22"/>
      <c r="AP52" s="22"/>
      <c r="AQ52" s="22"/>
      <c r="AR52" s="22"/>
      <c r="AS52" s="35"/>
      <c r="AT52" s="22"/>
      <c r="AU52" s="22"/>
      <c r="AV52" s="22"/>
      <c r="AW52" s="22"/>
      <c r="AX52" s="22"/>
      <c r="AY52" s="22"/>
    </row>
    <row r="53" spans="1:52" ht="15" customHeight="1" outlineLevel="2" thickBot="1" x14ac:dyDescent="0.3">
      <c r="A53" s="18">
        <v>4</v>
      </c>
      <c r="B53" s="24"/>
      <c r="C53" s="24"/>
      <c r="D53" s="20" t="s">
        <v>90</v>
      </c>
      <c r="E53" s="21"/>
      <c r="F53" s="21"/>
      <c r="G53" s="21"/>
      <c r="H53" s="21"/>
      <c r="I53" s="21"/>
      <c r="J53" s="21"/>
      <c r="K53" s="21"/>
      <c r="L53" s="21"/>
      <c r="M53" s="21"/>
      <c r="N53" s="21"/>
      <c r="O53" s="21"/>
      <c r="P53" s="21"/>
      <c r="Q53" s="21"/>
      <c r="R53" s="21"/>
      <c r="S53" s="21"/>
      <c r="T53" s="21"/>
      <c r="U53" s="21"/>
      <c r="V53" s="21"/>
      <c r="W53" s="21"/>
      <c r="X53" s="21"/>
      <c r="Y53" s="21"/>
      <c r="Z53" s="21"/>
      <c r="AA53" s="21"/>
      <c r="AB53" s="21">
        <f>SUM(E53:AA53)</f>
        <v>0</v>
      </c>
      <c r="AC53" s="34"/>
      <c r="AD53" s="34"/>
      <c r="AF53" s="22"/>
      <c r="AG53" s="22"/>
      <c r="AH53" s="22"/>
      <c r="AI53" s="22"/>
      <c r="AJ53" s="22"/>
      <c r="AK53" s="22"/>
      <c r="AL53" s="22"/>
      <c r="AM53" s="22"/>
      <c r="AN53" s="22"/>
      <c r="AO53" s="22"/>
      <c r="AP53" s="22"/>
      <c r="AQ53" s="22"/>
      <c r="AR53" s="22"/>
      <c r="AS53" s="35"/>
      <c r="AT53" s="22"/>
      <c r="AU53" s="22"/>
      <c r="AV53" s="22"/>
      <c r="AW53" s="22"/>
      <c r="AX53" s="22"/>
      <c r="AY53" s="22"/>
    </row>
    <row r="54" spans="1:52" ht="19" customHeight="1" outlineLevel="1" thickBot="1" x14ac:dyDescent="0.3">
      <c r="A54" s="18"/>
      <c r="B54" s="24"/>
      <c r="C54" s="24"/>
      <c r="D54" s="25" t="s">
        <v>91</v>
      </c>
      <c r="E54" s="26">
        <f t="shared" ref="E54:AB54" si="8">SUBTOTAL(9,E50:E53)</f>
        <v>0</v>
      </c>
      <c r="F54" s="26">
        <f t="shared" si="8"/>
        <v>0</v>
      </c>
      <c r="G54" s="26">
        <f t="shared" si="8"/>
        <v>0</v>
      </c>
      <c r="H54" s="26">
        <f t="shared" si="8"/>
        <v>0</v>
      </c>
      <c r="I54" s="26">
        <f t="shared" si="8"/>
        <v>0</v>
      </c>
      <c r="J54" s="26">
        <f t="shared" si="8"/>
        <v>0</v>
      </c>
      <c r="K54" s="26">
        <f t="shared" si="8"/>
        <v>0</v>
      </c>
      <c r="L54" s="26">
        <f t="shared" si="8"/>
        <v>0</v>
      </c>
      <c r="M54" s="26">
        <f t="shared" si="8"/>
        <v>0</v>
      </c>
      <c r="N54" s="26">
        <f t="shared" si="8"/>
        <v>0</v>
      </c>
      <c r="O54" s="26">
        <f t="shared" si="8"/>
        <v>0</v>
      </c>
      <c r="P54" s="26">
        <f t="shared" si="8"/>
        <v>0</v>
      </c>
      <c r="Q54" s="26">
        <f t="shared" si="8"/>
        <v>0</v>
      </c>
      <c r="R54" s="26">
        <f t="shared" si="8"/>
        <v>0</v>
      </c>
      <c r="S54" s="26">
        <f t="shared" si="8"/>
        <v>0</v>
      </c>
      <c r="T54" s="26">
        <f t="shared" si="8"/>
        <v>0</v>
      </c>
      <c r="U54" s="26">
        <f t="shared" si="8"/>
        <v>0</v>
      </c>
      <c r="V54" s="26">
        <f t="shared" si="8"/>
        <v>0</v>
      </c>
      <c r="W54" s="26">
        <f t="shared" si="8"/>
        <v>0</v>
      </c>
      <c r="X54" s="26">
        <f t="shared" si="8"/>
        <v>0</v>
      </c>
      <c r="Y54" s="26">
        <f t="shared" si="8"/>
        <v>0</v>
      </c>
      <c r="Z54" s="26">
        <f t="shared" si="8"/>
        <v>0</v>
      </c>
      <c r="AA54" s="26">
        <f t="shared" si="8"/>
        <v>0</v>
      </c>
      <c r="AB54" s="26">
        <f t="shared" si="8"/>
        <v>0</v>
      </c>
      <c r="AC54" s="34"/>
    </row>
    <row r="55" spans="1:52" ht="13.5" outlineLevel="2" thickBot="1" x14ac:dyDescent="0.3">
      <c r="A55" s="18">
        <v>1</v>
      </c>
      <c r="B55" s="19"/>
      <c r="C55" s="19"/>
      <c r="D55" s="20" t="s">
        <v>92</v>
      </c>
      <c r="E55" s="21"/>
      <c r="F55" s="21"/>
      <c r="G55" s="21"/>
      <c r="H55" s="21"/>
      <c r="I55" s="21"/>
      <c r="J55" s="21"/>
      <c r="K55" s="21"/>
      <c r="L55" s="21"/>
      <c r="M55" s="21"/>
      <c r="N55" s="21"/>
      <c r="O55" s="21"/>
      <c r="P55" s="21"/>
      <c r="Q55" s="21"/>
      <c r="R55" s="21"/>
      <c r="S55" s="21"/>
      <c r="T55" s="21"/>
      <c r="U55" s="21"/>
      <c r="V55" s="21"/>
      <c r="W55" s="21"/>
      <c r="X55" s="21"/>
      <c r="Y55" s="21"/>
      <c r="Z55" s="21"/>
      <c r="AA55" s="21"/>
      <c r="AB55" s="21">
        <f>SUM(E55:AA55)</f>
        <v>0</v>
      </c>
      <c r="AC55" s="34"/>
      <c r="AD55" s="23"/>
      <c r="AP55" s="22"/>
      <c r="AQ55" s="22"/>
      <c r="AR55" s="22"/>
      <c r="AS55" s="35"/>
      <c r="AT55" s="22"/>
      <c r="AU55" s="22"/>
      <c r="AV55" s="22"/>
      <c r="AW55" s="22"/>
      <c r="AX55" s="22"/>
      <c r="AY55" s="22"/>
    </row>
    <row r="56" spans="1:52" ht="13.5" outlineLevel="2" thickBot="1" x14ac:dyDescent="0.3">
      <c r="A56" s="18">
        <v>2</v>
      </c>
      <c r="B56" s="24"/>
      <c r="C56" s="24"/>
      <c r="D56" s="20" t="s">
        <v>92</v>
      </c>
      <c r="E56" s="21"/>
      <c r="F56" s="21"/>
      <c r="G56" s="21"/>
      <c r="H56" s="21"/>
      <c r="I56" s="21"/>
      <c r="J56" s="21"/>
      <c r="K56" s="21"/>
      <c r="L56" s="21"/>
      <c r="M56" s="21"/>
      <c r="N56" s="21"/>
      <c r="O56" s="21"/>
      <c r="P56" s="21"/>
      <c r="Q56" s="21"/>
      <c r="R56" s="21"/>
      <c r="S56" s="21"/>
      <c r="T56" s="21"/>
      <c r="U56" s="21"/>
      <c r="V56" s="21"/>
      <c r="W56" s="21"/>
      <c r="X56" s="21"/>
      <c r="Y56" s="21"/>
      <c r="Z56" s="21"/>
      <c r="AA56" s="21"/>
      <c r="AB56" s="21">
        <f>SUM(E56:AA56)</f>
        <v>0</v>
      </c>
      <c r="AC56" s="34"/>
      <c r="AP56" s="22"/>
      <c r="AQ56" s="22"/>
      <c r="AR56" s="22"/>
      <c r="AS56" s="35"/>
      <c r="AT56" s="22"/>
      <c r="AU56" s="22"/>
      <c r="AV56" s="22"/>
      <c r="AW56" s="22"/>
      <c r="AX56" s="22"/>
      <c r="AY56" s="22"/>
    </row>
    <row r="57" spans="1:52" ht="13.5" outlineLevel="2" thickBot="1" x14ac:dyDescent="0.3">
      <c r="A57" s="18">
        <v>3</v>
      </c>
      <c r="B57" s="24"/>
      <c r="C57" s="24"/>
      <c r="D57" s="20" t="s">
        <v>92</v>
      </c>
      <c r="E57" s="21"/>
      <c r="F57" s="21"/>
      <c r="G57" s="21"/>
      <c r="H57" s="21"/>
      <c r="I57" s="21"/>
      <c r="J57" s="21"/>
      <c r="K57" s="21"/>
      <c r="L57" s="21"/>
      <c r="M57" s="21"/>
      <c r="N57" s="21"/>
      <c r="O57" s="21"/>
      <c r="P57" s="21"/>
      <c r="Q57" s="21"/>
      <c r="R57" s="21"/>
      <c r="S57" s="21"/>
      <c r="T57" s="21"/>
      <c r="U57" s="21"/>
      <c r="V57" s="21"/>
      <c r="W57" s="21"/>
      <c r="X57" s="21"/>
      <c r="Y57" s="21"/>
      <c r="Z57" s="21"/>
      <c r="AA57" s="21"/>
      <c r="AB57" s="21">
        <f>SUM(E57:AA57)</f>
        <v>0</v>
      </c>
      <c r="AC57" s="34"/>
      <c r="AD57" s="34"/>
      <c r="AF57" s="22"/>
      <c r="AG57" s="22"/>
      <c r="AH57" s="22"/>
      <c r="AI57" s="22"/>
      <c r="AJ57" s="22"/>
      <c r="AK57" s="22"/>
      <c r="AL57" s="22"/>
      <c r="AM57" s="22"/>
      <c r="AN57" s="22"/>
      <c r="AO57" s="22"/>
      <c r="AP57" s="22"/>
      <c r="AQ57" s="22"/>
      <c r="AR57" s="22"/>
      <c r="AS57" s="35"/>
      <c r="AT57" s="22"/>
      <c r="AU57" s="22"/>
      <c r="AV57" s="22"/>
      <c r="AW57" s="22"/>
      <c r="AX57" s="22"/>
      <c r="AY57" s="22"/>
    </row>
    <row r="58" spans="1:52" ht="13.5" outlineLevel="2" thickBot="1" x14ac:dyDescent="0.3">
      <c r="A58" s="18">
        <v>4</v>
      </c>
      <c r="B58" s="19"/>
      <c r="C58" s="19"/>
      <c r="D58" s="20" t="s">
        <v>92</v>
      </c>
      <c r="E58" s="21"/>
      <c r="F58" s="21"/>
      <c r="G58" s="21"/>
      <c r="H58" s="21"/>
      <c r="I58" s="21"/>
      <c r="J58" s="21"/>
      <c r="K58" s="21"/>
      <c r="L58" s="21"/>
      <c r="M58" s="21"/>
      <c r="N58" s="21"/>
      <c r="O58" s="21"/>
      <c r="P58" s="21"/>
      <c r="Q58" s="21"/>
      <c r="R58" s="21"/>
      <c r="S58" s="21"/>
      <c r="T58" s="21"/>
      <c r="U58" s="21"/>
      <c r="V58" s="21"/>
      <c r="W58" s="21"/>
      <c r="X58" s="21"/>
      <c r="Y58" s="21"/>
      <c r="Z58" s="21"/>
      <c r="AA58" s="21"/>
      <c r="AB58" s="21">
        <f>SUM(E58:AA58)</f>
        <v>0</v>
      </c>
    </row>
    <row r="59" spans="1:52" ht="18.75" customHeight="1" outlineLevel="1" thickBot="1" x14ac:dyDescent="0.3">
      <c r="A59" s="18"/>
      <c r="B59" s="24"/>
      <c r="C59" s="24"/>
      <c r="D59" s="25" t="s">
        <v>93</v>
      </c>
      <c r="E59" s="26">
        <f t="shared" ref="E59:AB59" si="9">SUBTOTAL(9,E55:E58)</f>
        <v>0</v>
      </c>
      <c r="F59" s="26">
        <f t="shared" si="9"/>
        <v>0</v>
      </c>
      <c r="G59" s="26">
        <f t="shared" si="9"/>
        <v>0</v>
      </c>
      <c r="H59" s="26">
        <f t="shared" si="9"/>
        <v>0</v>
      </c>
      <c r="I59" s="26">
        <f t="shared" si="9"/>
        <v>0</v>
      </c>
      <c r="J59" s="26">
        <f t="shared" si="9"/>
        <v>0</v>
      </c>
      <c r="K59" s="26">
        <f t="shared" si="9"/>
        <v>0</v>
      </c>
      <c r="L59" s="26">
        <f t="shared" si="9"/>
        <v>0</v>
      </c>
      <c r="M59" s="26">
        <f t="shared" si="9"/>
        <v>0</v>
      </c>
      <c r="N59" s="26">
        <f t="shared" si="9"/>
        <v>0</v>
      </c>
      <c r="O59" s="26">
        <f t="shared" si="9"/>
        <v>0</v>
      </c>
      <c r="P59" s="26">
        <f t="shared" si="9"/>
        <v>0</v>
      </c>
      <c r="Q59" s="26">
        <f t="shared" si="9"/>
        <v>0</v>
      </c>
      <c r="R59" s="26">
        <f t="shared" si="9"/>
        <v>0</v>
      </c>
      <c r="S59" s="26">
        <f t="shared" si="9"/>
        <v>0</v>
      </c>
      <c r="T59" s="26">
        <f t="shared" si="9"/>
        <v>0</v>
      </c>
      <c r="U59" s="26">
        <f t="shared" si="9"/>
        <v>0</v>
      </c>
      <c r="V59" s="26">
        <f t="shared" si="9"/>
        <v>0</v>
      </c>
      <c r="W59" s="26">
        <f t="shared" si="9"/>
        <v>0</v>
      </c>
      <c r="X59" s="26">
        <f t="shared" si="9"/>
        <v>0</v>
      </c>
      <c r="Y59" s="26">
        <f t="shared" si="9"/>
        <v>0</v>
      </c>
      <c r="Z59" s="26">
        <f t="shared" si="9"/>
        <v>0</v>
      </c>
      <c r="AA59" s="26">
        <f t="shared" si="9"/>
        <v>0</v>
      </c>
      <c r="AB59" s="26">
        <f t="shared" si="9"/>
        <v>0</v>
      </c>
      <c r="AZ59" s="16">
        <f>SUBTOTAL(9,AZ55:AZ58)</f>
        <v>0</v>
      </c>
    </row>
    <row r="60" spans="1:52" ht="13.5" outlineLevel="2" thickBot="1" x14ac:dyDescent="0.3">
      <c r="A60" s="18">
        <v>1</v>
      </c>
      <c r="B60" s="19"/>
      <c r="C60" s="19"/>
      <c r="D60" s="20" t="s">
        <v>94</v>
      </c>
      <c r="E60" s="21"/>
      <c r="F60" s="21"/>
      <c r="G60" s="21"/>
      <c r="H60" s="21"/>
      <c r="I60" s="21"/>
      <c r="J60" s="21"/>
      <c r="K60" s="21"/>
      <c r="L60" s="21"/>
      <c r="M60" s="21"/>
      <c r="N60" s="21"/>
      <c r="O60" s="21"/>
      <c r="P60" s="21"/>
      <c r="Q60" s="21"/>
      <c r="R60" s="21"/>
      <c r="S60" s="21"/>
      <c r="T60" s="21"/>
      <c r="U60" s="21"/>
      <c r="V60" s="21"/>
      <c r="W60" s="21"/>
      <c r="X60" s="21"/>
      <c r="Y60" s="21"/>
      <c r="Z60" s="21"/>
      <c r="AA60" s="21"/>
      <c r="AB60" s="21">
        <f>SUM(E60:AA60)</f>
        <v>0</v>
      </c>
      <c r="AD60" s="23"/>
    </row>
    <row r="61" spans="1:52" ht="13.5" outlineLevel="2" thickBot="1" x14ac:dyDescent="0.3">
      <c r="A61" s="18">
        <v>2</v>
      </c>
      <c r="B61" s="24"/>
      <c r="C61" s="24"/>
      <c r="D61" s="20" t="s">
        <v>94</v>
      </c>
      <c r="E61" s="21"/>
      <c r="F61" s="21"/>
      <c r="G61" s="21"/>
      <c r="H61" s="21"/>
      <c r="I61" s="21"/>
      <c r="J61" s="21"/>
      <c r="K61" s="21"/>
      <c r="L61" s="21"/>
      <c r="M61" s="21"/>
      <c r="N61" s="21"/>
      <c r="O61" s="21"/>
      <c r="P61" s="21"/>
      <c r="Q61" s="21"/>
      <c r="R61" s="21"/>
      <c r="S61" s="21"/>
      <c r="T61" s="21"/>
      <c r="U61" s="21"/>
      <c r="V61" s="21"/>
      <c r="W61" s="21"/>
      <c r="X61" s="21"/>
      <c r="Y61" s="21"/>
      <c r="Z61" s="21"/>
      <c r="AA61" s="21"/>
      <c r="AB61" s="21">
        <f>SUM(E61:AA61)</f>
        <v>0</v>
      </c>
    </row>
    <row r="62" spans="1:52" ht="13.5" outlineLevel="2" thickBot="1" x14ac:dyDescent="0.3">
      <c r="A62" s="18">
        <v>3</v>
      </c>
      <c r="B62" s="24"/>
      <c r="C62" s="24"/>
      <c r="D62" s="20" t="s">
        <v>94</v>
      </c>
      <c r="E62" s="21"/>
      <c r="F62" s="21"/>
      <c r="G62" s="21"/>
      <c r="H62" s="21"/>
      <c r="I62" s="21"/>
      <c r="J62" s="21"/>
      <c r="K62" s="21"/>
      <c r="L62" s="21"/>
      <c r="M62" s="21"/>
      <c r="N62" s="21"/>
      <c r="O62" s="21"/>
      <c r="P62" s="21"/>
      <c r="Q62" s="21"/>
      <c r="R62" s="21"/>
      <c r="S62" s="21"/>
      <c r="T62" s="21"/>
      <c r="U62" s="21"/>
      <c r="V62" s="21"/>
      <c r="W62" s="21"/>
      <c r="X62" s="21"/>
      <c r="Y62" s="21"/>
      <c r="Z62" s="21"/>
      <c r="AA62" s="21"/>
      <c r="AB62" s="21">
        <f>SUM(E62:AA62)</f>
        <v>0</v>
      </c>
    </row>
    <row r="63" spans="1:52" ht="13.5" outlineLevel="2" thickBot="1" x14ac:dyDescent="0.3">
      <c r="A63" s="18">
        <v>4</v>
      </c>
      <c r="B63" s="19"/>
      <c r="C63" s="19"/>
      <c r="D63" s="20" t="s">
        <v>94</v>
      </c>
      <c r="E63" s="21"/>
      <c r="F63" s="21"/>
      <c r="G63" s="21"/>
      <c r="H63" s="21"/>
      <c r="I63" s="21"/>
      <c r="J63" s="21"/>
      <c r="K63" s="21"/>
      <c r="L63" s="21"/>
      <c r="M63" s="21"/>
      <c r="N63" s="21"/>
      <c r="O63" s="21"/>
      <c r="P63" s="21"/>
      <c r="Q63" s="21"/>
      <c r="R63" s="21"/>
      <c r="S63" s="21"/>
      <c r="T63" s="21"/>
      <c r="U63" s="21"/>
      <c r="V63" s="21"/>
      <c r="W63" s="21"/>
      <c r="X63" s="21"/>
      <c r="Y63" s="21"/>
      <c r="Z63" s="21"/>
      <c r="AA63" s="21"/>
      <c r="AB63" s="21">
        <f>SUM(E63:AA63)</f>
        <v>0</v>
      </c>
    </row>
    <row r="64" spans="1:52" ht="13.5" outlineLevel="1" thickBot="1" x14ac:dyDescent="0.3">
      <c r="A64" s="18"/>
      <c r="B64" s="24"/>
      <c r="C64" s="24"/>
      <c r="D64" s="25" t="s">
        <v>95</v>
      </c>
      <c r="E64" s="26">
        <f t="shared" ref="E64:AB64" si="10">SUBTOTAL(9,E60:E63)</f>
        <v>0</v>
      </c>
      <c r="F64" s="26">
        <f t="shared" si="10"/>
        <v>0</v>
      </c>
      <c r="G64" s="26">
        <f t="shared" si="10"/>
        <v>0</v>
      </c>
      <c r="H64" s="26">
        <f t="shared" si="10"/>
        <v>0</v>
      </c>
      <c r="I64" s="26">
        <f t="shared" si="10"/>
        <v>0</v>
      </c>
      <c r="J64" s="26">
        <f t="shared" si="10"/>
        <v>0</v>
      </c>
      <c r="K64" s="26">
        <f t="shared" si="10"/>
        <v>0</v>
      </c>
      <c r="L64" s="26">
        <f t="shared" si="10"/>
        <v>0</v>
      </c>
      <c r="M64" s="26">
        <f t="shared" si="10"/>
        <v>0</v>
      </c>
      <c r="N64" s="26">
        <f t="shared" si="10"/>
        <v>0</v>
      </c>
      <c r="O64" s="26">
        <f t="shared" si="10"/>
        <v>0</v>
      </c>
      <c r="P64" s="26">
        <f t="shared" si="10"/>
        <v>0</v>
      </c>
      <c r="Q64" s="26">
        <f t="shared" si="10"/>
        <v>0</v>
      </c>
      <c r="R64" s="26">
        <f t="shared" si="10"/>
        <v>0</v>
      </c>
      <c r="S64" s="26">
        <f t="shared" si="10"/>
        <v>0</v>
      </c>
      <c r="T64" s="26">
        <f t="shared" si="10"/>
        <v>0</v>
      </c>
      <c r="U64" s="26">
        <f t="shared" si="10"/>
        <v>0</v>
      </c>
      <c r="V64" s="26">
        <f t="shared" si="10"/>
        <v>0</v>
      </c>
      <c r="W64" s="26">
        <f t="shared" si="10"/>
        <v>0</v>
      </c>
      <c r="X64" s="26">
        <f t="shared" si="10"/>
        <v>0</v>
      </c>
      <c r="Y64" s="26">
        <f t="shared" si="10"/>
        <v>0</v>
      </c>
      <c r="Z64" s="26">
        <f t="shared" si="10"/>
        <v>0</v>
      </c>
      <c r="AA64" s="26">
        <f t="shared" si="10"/>
        <v>0</v>
      </c>
      <c r="AB64" s="26">
        <f t="shared" si="10"/>
        <v>0</v>
      </c>
      <c r="AZ64" s="16">
        <f>SUBTOTAL(9,AZ60:AZ63)</f>
        <v>0</v>
      </c>
    </row>
    <row r="65" spans="1:52" ht="13.5" customHeight="1" outlineLevel="2" thickBot="1" x14ac:dyDescent="0.3">
      <c r="A65" s="18">
        <v>1</v>
      </c>
      <c r="B65" s="24"/>
      <c r="C65" s="24"/>
      <c r="D65" s="20" t="str">
        <v>Sabanalarga</v>
      </c>
      <c r="E65" s="21"/>
      <c r="F65" s="21"/>
      <c r="G65" s="21"/>
      <c r="H65" s="21"/>
      <c r="I65" s="21"/>
      <c r="J65" s="21"/>
      <c r="K65" s="21"/>
      <c r="L65" s="21"/>
      <c r="M65" s="21"/>
      <c r="N65" s="21"/>
      <c r="O65" s="21"/>
      <c r="P65" s="21"/>
      <c r="Q65" s="21"/>
      <c r="R65" s="21"/>
      <c r="S65" s="21"/>
      <c r="T65" s="21"/>
      <c r="U65" s="21"/>
      <c r="V65" s="21"/>
      <c r="W65" s="21"/>
      <c r="X65" s="21"/>
      <c r="Y65" s="21"/>
      <c r="Z65" s="21"/>
      <c r="AA65" s="21"/>
      <c r="AB65" s="21"/>
    </row>
    <row r="66" spans="1:52" ht="13.5" outlineLevel="2" thickBot="1" x14ac:dyDescent="0.3">
      <c r="A66" s="18">
        <v>2</v>
      </c>
      <c r="B66" s="24"/>
      <c r="C66" s="24"/>
      <c r="D66" s="20" t="str">
        <v>Sabanalarga</v>
      </c>
      <c r="E66" s="21"/>
      <c r="F66" s="21"/>
      <c r="G66" s="21"/>
      <c r="H66" s="21"/>
      <c r="I66" s="21"/>
      <c r="J66" s="21"/>
      <c r="K66" s="21"/>
      <c r="L66" s="21"/>
      <c r="M66" s="21"/>
      <c r="N66" s="21"/>
      <c r="O66" s="21"/>
      <c r="P66" s="21"/>
      <c r="Q66" s="21"/>
      <c r="R66" s="21"/>
      <c r="S66" s="21"/>
      <c r="T66" s="21"/>
      <c r="U66" s="21"/>
      <c r="V66" s="21"/>
      <c r="W66" s="21"/>
      <c r="X66" s="21"/>
      <c r="Y66" s="21"/>
      <c r="Z66" s="21"/>
      <c r="AA66" s="21"/>
      <c r="AB66" s="21"/>
    </row>
    <row r="67" spans="1:52" ht="13.5" outlineLevel="2" thickBot="1" x14ac:dyDescent="0.3">
      <c r="A67" s="18">
        <v>3</v>
      </c>
      <c r="B67" s="24"/>
      <c r="C67" s="24"/>
      <c r="D67" s="20" t="str">
        <v>Sabanalarga</v>
      </c>
      <c r="E67" s="21"/>
      <c r="F67" s="21"/>
      <c r="G67" s="21"/>
      <c r="H67" s="21"/>
      <c r="I67" s="21"/>
      <c r="J67" s="21"/>
      <c r="K67" s="21"/>
      <c r="L67" s="21"/>
      <c r="M67" s="21"/>
      <c r="N67" s="21"/>
      <c r="O67" s="21"/>
      <c r="P67" s="21"/>
      <c r="Q67" s="21"/>
      <c r="R67" s="21"/>
      <c r="S67" s="21"/>
      <c r="T67" s="21"/>
      <c r="U67" s="21"/>
      <c r="V67" s="21"/>
      <c r="W67" s="21"/>
      <c r="X67" s="21"/>
      <c r="Y67" s="21"/>
      <c r="Z67" s="21"/>
      <c r="AA67" s="21"/>
      <c r="AB67" s="21"/>
    </row>
    <row r="68" spans="1:52" ht="18.75" customHeight="1" outlineLevel="2" thickBot="1" x14ac:dyDescent="0.3">
      <c r="A68" s="18">
        <v>4</v>
      </c>
      <c r="B68" s="33"/>
      <c r="C68" s="33"/>
      <c r="D68" s="20" t="str">
        <v>Sabanalarga</v>
      </c>
      <c r="E68" s="21"/>
      <c r="F68" s="21"/>
      <c r="G68" s="21"/>
      <c r="H68" s="21"/>
      <c r="I68" s="21"/>
      <c r="J68" s="21"/>
      <c r="K68" s="21"/>
      <c r="L68" s="21"/>
      <c r="M68" s="21"/>
      <c r="N68" s="21"/>
      <c r="O68" s="21"/>
      <c r="P68" s="21"/>
      <c r="Q68" s="21"/>
      <c r="R68" s="21"/>
      <c r="S68" s="21"/>
      <c r="T68" s="21"/>
      <c r="U68" s="21"/>
      <c r="V68" s="21"/>
      <c r="W68" s="21"/>
      <c r="X68" s="21"/>
      <c r="Y68" s="21"/>
      <c r="Z68" s="21"/>
      <c r="AA68" s="21"/>
      <c r="AB68" s="21"/>
    </row>
    <row r="69" spans="1:52" s="32" customFormat="1" ht="24.75" customHeight="1" outlineLevel="1" thickBot="1" x14ac:dyDescent="0.35">
      <c r="A69" s="18"/>
      <c r="B69" s="31"/>
      <c r="C69" s="31"/>
      <c r="D69" s="25" t="s">
        <v>96</v>
      </c>
      <c r="E69" s="26">
        <f t="shared" ref="E69:AB69" si="11">SUBTOTAL(9,E65:E68)</f>
        <v>0</v>
      </c>
      <c r="F69" s="26">
        <f t="shared" si="11"/>
        <v>0</v>
      </c>
      <c r="G69" s="26">
        <f t="shared" si="11"/>
        <v>0</v>
      </c>
      <c r="H69" s="26">
        <f t="shared" si="11"/>
        <v>0</v>
      </c>
      <c r="I69" s="26">
        <f t="shared" si="11"/>
        <v>0</v>
      </c>
      <c r="J69" s="26">
        <f t="shared" si="11"/>
        <v>0</v>
      </c>
      <c r="K69" s="26">
        <f t="shared" si="11"/>
        <v>0</v>
      </c>
      <c r="L69" s="26">
        <f t="shared" si="11"/>
        <v>0</v>
      </c>
      <c r="M69" s="26">
        <f t="shared" si="11"/>
        <v>0</v>
      </c>
      <c r="N69" s="26">
        <f t="shared" si="11"/>
        <v>0</v>
      </c>
      <c r="O69" s="26">
        <f t="shared" si="11"/>
        <v>0</v>
      </c>
      <c r="P69" s="26">
        <f t="shared" si="11"/>
        <v>0</v>
      </c>
      <c r="Q69" s="26">
        <f t="shared" si="11"/>
        <v>0</v>
      </c>
      <c r="R69" s="26">
        <f t="shared" si="11"/>
        <v>0</v>
      </c>
      <c r="S69" s="26">
        <f t="shared" si="11"/>
        <v>0</v>
      </c>
      <c r="T69" s="26">
        <f t="shared" si="11"/>
        <v>0</v>
      </c>
      <c r="U69" s="26">
        <f t="shared" si="11"/>
        <v>0</v>
      </c>
      <c r="V69" s="26">
        <f t="shared" si="11"/>
        <v>0</v>
      </c>
      <c r="W69" s="26">
        <f t="shared" si="11"/>
        <v>0</v>
      </c>
      <c r="X69" s="26">
        <f t="shared" si="11"/>
        <v>0</v>
      </c>
      <c r="Y69" s="26">
        <f t="shared" si="11"/>
        <v>0</v>
      </c>
      <c r="Z69" s="26">
        <f t="shared" si="11"/>
        <v>0</v>
      </c>
      <c r="AA69" s="26">
        <f t="shared" si="11"/>
        <v>0</v>
      </c>
      <c r="AB69" s="26">
        <f t="shared" si="11"/>
        <v>0</v>
      </c>
      <c r="AZ69" s="32">
        <f>SUBTOTAL(9,AZ65:AZ68)</f>
        <v>0</v>
      </c>
    </row>
    <row r="70" spans="1:52" ht="13.5" outlineLevel="2" thickBot="1" x14ac:dyDescent="0.3">
      <c r="A70" s="18">
        <v>1</v>
      </c>
      <c r="B70" s="19"/>
      <c r="C70" s="19"/>
      <c r="D70" s="20" t="s">
        <v>97</v>
      </c>
      <c r="E70" s="21"/>
      <c r="F70" s="21"/>
      <c r="G70" s="21"/>
      <c r="H70" s="21"/>
      <c r="I70" s="21"/>
      <c r="J70" s="21"/>
      <c r="K70" s="21"/>
      <c r="L70" s="21"/>
      <c r="M70" s="21"/>
      <c r="N70" s="21"/>
      <c r="O70" s="21"/>
      <c r="P70" s="21"/>
      <c r="Q70" s="21"/>
      <c r="R70" s="21"/>
      <c r="S70" s="21"/>
      <c r="T70" s="21"/>
      <c r="U70" s="21"/>
      <c r="V70" s="21"/>
      <c r="W70" s="21"/>
      <c r="X70" s="21"/>
      <c r="Y70" s="21"/>
      <c r="Z70" s="21"/>
      <c r="AA70" s="21"/>
      <c r="AB70" s="21"/>
      <c r="AD70" s="23"/>
    </row>
    <row r="71" spans="1:52" ht="13.5" outlineLevel="2" thickBot="1" x14ac:dyDescent="0.3">
      <c r="A71" s="18">
        <v>2</v>
      </c>
      <c r="B71" s="19"/>
      <c r="C71" s="19"/>
      <c r="D71" s="20" t="s">
        <v>97</v>
      </c>
      <c r="E71" s="21"/>
      <c r="F71" s="21"/>
      <c r="G71" s="21"/>
      <c r="H71" s="21"/>
      <c r="I71" s="21"/>
      <c r="J71" s="21"/>
      <c r="K71" s="21"/>
      <c r="L71" s="21"/>
      <c r="M71" s="21"/>
      <c r="N71" s="21"/>
      <c r="O71" s="21"/>
      <c r="P71" s="21"/>
      <c r="Q71" s="21"/>
      <c r="R71" s="21"/>
      <c r="S71" s="21"/>
      <c r="T71" s="21"/>
      <c r="U71" s="21"/>
      <c r="V71" s="21"/>
      <c r="W71" s="21"/>
      <c r="X71" s="21"/>
      <c r="Y71" s="21"/>
      <c r="Z71" s="21"/>
      <c r="AA71" s="21"/>
      <c r="AB71" s="21"/>
    </row>
    <row r="72" spans="1:52" ht="13.5" outlineLevel="2" thickBot="1" x14ac:dyDescent="0.3">
      <c r="A72" s="18">
        <v>3</v>
      </c>
      <c r="B72" s="19"/>
      <c r="C72" s="19"/>
      <c r="D72" s="20" t="s">
        <v>97</v>
      </c>
      <c r="E72" s="21"/>
      <c r="F72" s="21"/>
      <c r="G72" s="21"/>
      <c r="H72" s="21"/>
      <c r="I72" s="21"/>
      <c r="J72" s="21"/>
      <c r="K72" s="21"/>
      <c r="L72" s="21"/>
      <c r="M72" s="21"/>
      <c r="N72" s="21"/>
      <c r="O72" s="21"/>
      <c r="P72" s="21"/>
      <c r="Q72" s="21"/>
      <c r="R72" s="21"/>
      <c r="S72" s="21"/>
      <c r="T72" s="21"/>
      <c r="U72" s="21"/>
      <c r="V72" s="21"/>
      <c r="W72" s="21"/>
      <c r="X72" s="21"/>
      <c r="Y72" s="21"/>
      <c r="Z72" s="21"/>
      <c r="AA72" s="21"/>
      <c r="AB72" s="21"/>
    </row>
    <row r="73" spans="1:52" ht="13.5" outlineLevel="2" thickBot="1" x14ac:dyDescent="0.3">
      <c r="A73" s="18">
        <v>4</v>
      </c>
      <c r="B73" s="19"/>
      <c r="C73" s="19"/>
      <c r="D73" s="20" t="s">
        <v>97</v>
      </c>
      <c r="E73" s="21"/>
      <c r="F73" s="21"/>
      <c r="G73" s="21"/>
      <c r="H73" s="21"/>
      <c r="I73" s="21"/>
      <c r="J73" s="21"/>
      <c r="K73" s="21"/>
      <c r="L73" s="21"/>
      <c r="M73" s="21"/>
      <c r="N73" s="21"/>
      <c r="O73" s="21"/>
      <c r="P73" s="21"/>
      <c r="Q73" s="21"/>
      <c r="R73" s="21"/>
      <c r="S73" s="21"/>
      <c r="T73" s="21"/>
      <c r="U73" s="21"/>
      <c r="V73" s="21"/>
      <c r="W73" s="21"/>
      <c r="X73" s="21"/>
      <c r="Y73" s="21"/>
      <c r="Z73" s="21"/>
      <c r="AA73" s="21"/>
      <c r="AB73" s="21"/>
    </row>
    <row r="74" spans="1:52" ht="13.5" outlineLevel="1" thickBot="1" x14ac:dyDescent="0.3">
      <c r="A74" s="18"/>
      <c r="B74" s="19"/>
      <c r="C74" s="19"/>
      <c r="D74" s="25" t="s">
        <v>98</v>
      </c>
      <c r="E74" s="26">
        <f t="shared" ref="E74:AB74" si="12">SUBTOTAL(9,E70:E73)</f>
        <v>0</v>
      </c>
      <c r="F74" s="26">
        <f t="shared" si="12"/>
        <v>0</v>
      </c>
      <c r="G74" s="26">
        <f t="shared" si="12"/>
        <v>0</v>
      </c>
      <c r="H74" s="26">
        <f t="shared" si="12"/>
        <v>0</v>
      </c>
      <c r="I74" s="26">
        <f t="shared" si="12"/>
        <v>0</v>
      </c>
      <c r="J74" s="26">
        <f t="shared" si="12"/>
        <v>0</v>
      </c>
      <c r="K74" s="26">
        <f t="shared" si="12"/>
        <v>0</v>
      </c>
      <c r="L74" s="26">
        <f t="shared" si="12"/>
        <v>0</v>
      </c>
      <c r="M74" s="26">
        <f t="shared" si="12"/>
        <v>0</v>
      </c>
      <c r="N74" s="26">
        <f t="shared" si="12"/>
        <v>0</v>
      </c>
      <c r="O74" s="26">
        <f t="shared" si="12"/>
        <v>0</v>
      </c>
      <c r="P74" s="26">
        <f t="shared" si="12"/>
        <v>0</v>
      </c>
      <c r="Q74" s="26">
        <f t="shared" si="12"/>
        <v>0</v>
      </c>
      <c r="R74" s="26">
        <f t="shared" si="12"/>
        <v>0</v>
      </c>
      <c r="S74" s="26">
        <f t="shared" si="12"/>
        <v>0</v>
      </c>
      <c r="T74" s="26">
        <f t="shared" si="12"/>
        <v>0</v>
      </c>
      <c r="U74" s="26">
        <f t="shared" si="12"/>
        <v>0</v>
      </c>
      <c r="V74" s="26">
        <f t="shared" si="12"/>
        <v>0</v>
      </c>
      <c r="W74" s="26">
        <f t="shared" si="12"/>
        <v>0</v>
      </c>
      <c r="X74" s="26">
        <f t="shared" si="12"/>
        <v>0</v>
      </c>
      <c r="Y74" s="26">
        <f t="shared" si="12"/>
        <v>0</v>
      </c>
      <c r="Z74" s="26">
        <f t="shared" si="12"/>
        <v>0</v>
      </c>
      <c r="AA74" s="26">
        <f t="shared" si="12"/>
        <v>0</v>
      </c>
      <c r="AB74" s="26">
        <f t="shared" si="12"/>
        <v>0</v>
      </c>
      <c r="AZ74" s="16">
        <f>SUBTOTAL(9,AZ70:AZ73)</f>
        <v>0</v>
      </c>
    </row>
    <row r="75" spans="1:52" ht="13.5" outlineLevel="2" thickBot="1" x14ac:dyDescent="0.3">
      <c r="A75" s="18">
        <v>1</v>
      </c>
      <c r="B75" s="19"/>
      <c r="C75" s="19"/>
      <c r="D75" s="20" t="s">
        <v>99</v>
      </c>
      <c r="E75" s="21"/>
      <c r="F75" s="21"/>
      <c r="G75" s="21"/>
      <c r="H75" s="21"/>
      <c r="I75" s="21"/>
      <c r="J75" s="21"/>
      <c r="K75" s="21"/>
      <c r="L75" s="21"/>
      <c r="M75" s="21"/>
      <c r="N75" s="21"/>
      <c r="O75" s="21"/>
      <c r="P75" s="21"/>
      <c r="Q75" s="21"/>
      <c r="R75" s="21"/>
      <c r="S75" s="21"/>
      <c r="T75" s="21"/>
      <c r="U75" s="21"/>
      <c r="V75" s="21"/>
      <c r="W75" s="21"/>
      <c r="X75" s="21"/>
      <c r="Y75" s="21"/>
      <c r="Z75" s="21"/>
      <c r="AA75" s="21"/>
      <c r="AB75" s="21"/>
      <c r="AD75" s="23"/>
    </row>
    <row r="76" spans="1:52" ht="13.5" outlineLevel="2" thickBot="1" x14ac:dyDescent="0.3">
      <c r="A76" s="18">
        <v>2</v>
      </c>
      <c r="B76" s="19"/>
      <c r="C76" s="19"/>
      <c r="D76" s="20" t="s">
        <v>99</v>
      </c>
      <c r="E76" s="21"/>
      <c r="F76" s="21"/>
      <c r="G76" s="21"/>
      <c r="H76" s="21"/>
      <c r="I76" s="21"/>
      <c r="J76" s="21"/>
      <c r="K76" s="21"/>
      <c r="L76" s="21"/>
      <c r="M76" s="21"/>
      <c r="N76" s="21"/>
      <c r="O76" s="21"/>
      <c r="P76" s="21"/>
      <c r="Q76" s="21"/>
      <c r="R76" s="21"/>
      <c r="S76" s="21"/>
      <c r="T76" s="21"/>
      <c r="U76" s="21"/>
      <c r="V76" s="21"/>
      <c r="W76" s="21"/>
      <c r="X76" s="21"/>
      <c r="Y76" s="21"/>
      <c r="Z76" s="21"/>
      <c r="AA76" s="21"/>
      <c r="AB76" s="21"/>
    </row>
    <row r="77" spans="1:52" ht="13.5" outlineLevel="2" thickBot="1" x14ac:dyDescent="0.3">
      <c r="A77" s="18">
        <v>3</v>
      </c>
      <c r="B77" s="19"/>
      <c r="C77" s="19"/>
      <c r="D77" s="20" t="s">
        <v>99</v>
      </c>
      <c r="E77" s="21"/>
      <c r="F77" s="21"/>
      <c r="G77" s="21"/>
      <c r="H77" s="21"/>
      <c r="I77" s="21"/>
      <c r="J77" s="21"/>
      <c r="K77" s="21"/>
      <c r="L77" s="21"/>
      <c r="M77" s="21"/>
      <c r="N77" s="21"/>
      <c r="O77" s="21"/>
      <c r="P77" s="21"/>
      <c r="Q77" s="21"/>
      <c r="R77" s="21"/>
      <c r="S77" s="21"/>
      <c r="T77" s="21"/>
      <c r="U77" s="21"/>
      <c r="V77" s="21"/>
      <c r="W77" s="21"/>
      <c r="X77" s="21"/>
      <c r="Y77" s="21"/>
      <c r="Z77" s="21"/>
      <c r="AA77" s="21"/>
      <c r="AB77" s="21"/>
    </row>
    <row r="78" spans="1:52" ht="13.5" outlineLevel="2" thickBot="1" x14ac:dyDescent="0.3">
      <c r="A78" s="18">
        <v>4</v>
      </c>
      <c r="B78" s="19"/>
      <c r="C78" s="19"/>
      <c r="D78" s="20" t="s">
        <v>99</v>
      </c>
      <c r="E78" s="21"/>
      <c r="F78" s="21"/>
      <c r="G78" s="21"/>
      <c r="H78" s="21"/>
      <c r="I78" s="21"/>
      <c r="J78" s="21"/>
      <c r="K78" s="21"/>
      <c r="L78" s="21"/>
      <c r="M78" s="21"/>
      <c r="N78" s="21"/>
      <c r="O78" s="21"/>
      <c r="P78" s="21"/>
      <c r="Q78" s="21"/>
      <c r="R78" s="21"/>
      <c r="S78" s="21"/>
      <c r="T78" s="21"/>
      <c r="U78" s="21"/>
      <c r="V78" s="21"/>
      <c r="W78" s="21"/>
      <c r="X78" s="21"/>
      <c r="Y78" s="21"/>
      <c r="Z78" s="21"/>
      <c r="AA78" s="21"/>
      <c r="AB78" s="21"/>
    </row>
    <row r="79" spans="1:52" s="32" customFormat="1" ht="26.5" outlineLevel="1" thickBot="1" x14ac:dyDescent="0.35">
      <c r="A79" s="18"/>
      <c r="B79" s="36"/>
      <c r="C79" s="36"/>
      <c r="D79" s="25" t="s">
        <v>100</v>
      </c>
      <c r="E79" s="26">
        <f t="shared" ref="E79:AB79" si="13">SUBTOTAL(9,E75:E78)</f>
        <v>0</v>
      </c>
      <c r="F79" s="26">
        <f t="shared" si="13"/>
        <v>0</v>
      </c>
      <c r="G79" s="26">
        <f t="shared" si="13"/>
        <v>0</v>
      </c>
      <c r="H79" s="26">
        <f t="shared" si="13"/>
        <v>0</v>
      </c>
      <c r="I79" s="26">
        <f t="shared" si="13"/>
        <v>0</v>
      </c>
      <c r="J79" s="26">
        <f t="shared" si="13"/>
        <v>0</v>
      </c>
      <c r="K79" s="26">
        <f t="shared" si="13"/>
        <v>0</v>
      </c>
      <c r="L79" s="26">
        <f t="shared" si="13"/>
        <v>0</v>
      </c>
      <c r="M79" s="26">
        <f t="shared" si="13"/>
        <v>0</v>
      </c>
      <c r="N79" s="26">
        <f t="shared" si="13"/>
        <v>0</v>
      </c>
      <c r="O79" s="26">
        <f t="shared" si="13"/>
        <v>0</v>
      </c>
      <c r="P79" s="26">
        <f t="shared" si="13"/>
        <v>0</v>
      </c>
      <c r="Q79" s="26">
        <f t="shared" si="13"/>
        <v>0</v>
      </c>
      <c r="R79" s="26">
        <f t="shared" si="13"/>
        <v>0</v>
      </c>
      <c r="S79" s="26">
        <f t="shared" si="13"/>
        <v>0</v>
      </c>
      <c r="T79" s="26">
        <f t="shared" si="13"/>
        <v>0</v>
      </c>
      <c r="U79" s="26">
        <f t="shared" si="13"/>
        <v>0</v>
      </c>
      <c r="V79" s="26">
        <f t="shared" si="13"/>
        <v>0</v>
      </c>
      <c r="W79" s="26">
        <f t="shared" si="13"/>
        <v>0</v>
      </c>
      <c r="X79" s="26">
        <f t="shared" si="13"/>
        <v>0</v>
      </c>
      <c r="Y79" s="26">
        <f t="shared" si="13"/>
        <v>0</v>
      </c>
      <c r="Z79" s="26">
        <f t="shared" si="13"/>
        <v>0</v>
      </c>
      <c r="AA79" s="26">
        <f t="shared" si="13"/>
        <v>0</v>
      </c>
      <c r="AB79" s="26">
        <f t="shared" si="13"/>
        <v>0</v>
      </c>
      <c r="AZ79" s="32">
        <f>SUBTOTAL(9,AZ75:AZ78)</f>
        <v>0</v>
      </c>
    </row>
    <row r="80" spans="1:52" ht="13.5" outlineLevel="2" thickBot="1" x14ac:dyDescent="0.3">
      <c r="A80" s="18">
        <v>1</v>
      </c>
      <c r="B80" s="19"/>
      <c r="C80" s="19"/>
      <c r="D80" s="20" t="s">
        <v>101</v>
      </c>
      <c r="E80" s="26"/>
      <c r="F80" s="26"/>
      <c r="G80" s="26"/>
      <c r="H80" s="26"/>
      <c r="I80" s="26"/>
      <c r="J80" s="26"/>
      <c r="K80" s="26"/>
      <c r="L80" s="26"/>
      <c r="M80" s="26"/>
      <c r="N80" s="26"/>
      <c r="O80" s="26"/>
      <c r="P80" s="26"/>
      <c r="Q80" s="26"/>
      <c r="R80" s="26"/>
      <c r="S80" s="26"/>
      <c r="T80" s="26"/>
      <c r="U80" s="26"/>
      <c r="V80" s="26"/>
      <c r="W80" s="26"/>
      <c r="X80" s="26"/>
      <c r="Y80" s="26"/>
      <c r="Z80" s="26"/>
      <c r="AA80" s="26"/>
      <c r="AB80" s="26"/>
    </row>
    <row r="81" spans="1:52" ht="13.5" outlineLevel="2" thickBot="1" x14ac:dyDescent="0.3">
      <c r="A81" s="18">
        <v>2</v>
      </c>
      <c r="B81" s="24"/>
      <c r="C81" s="24"/>
      <c r="D81" s="20" t="s">
        <v>101</v>
      </c>
      <c r="E81" s="21"/>
      <c r="F81" s="21"/>
      <c r="G81" s="21"/>
      <c r="H81" s="21"/>
      <c r="I81" s="21"/>
      <c r="J81" s="21"/>
      <c r="K81" s="21"/>
      <c r="L81" s="21"/>
      <c r="M81" s="21"/>
      <c r="N81" s="21"/>
      <c r="O81" s="21"/>
      <c r="P81" s="21"/>
      <c r="Q81" s="21"/>
      <c r="R81" s="21"/>
      <c r="S81" s="21"/>
      <c r="T81" s="21"/>
      <c r="U81" s="21"/>
      <c r="V81" s="21"/>
      <c r="W81" s="21"/>
      <c r="X81" s="21"/>
      <c r="Y81" s="21"/>
      <c r="Z81" s="21"/>
      <c r="AA81" s="21"/>
      <c r="AB81" s="21"/>
    </row>
    <row r="82" spans="1:52" ht="13.5" outlineLevel="2" thickBot="1" x14ac:dyDescent="0.3">
      <c r="A82" s="18">
        <v>3</v>
      </c>
      <c r="B82" s="24"/>
      <c r="C82" s="24"/>
      <c r="D82" s="20" t="s">
        <v>101</v>
      </c>
      <c r="E82" s="21"/>
      <c r="F82" s="21"/>
      <c r="G82" s="21"/>
      <c r="H82" s="21"/>
      <c r="I82" s="21"/>
      <c r="J82" s="21"/>
      <c r="K82" s="21"/>
      <c r="L82" s="21"/>
      <c r="M82" s="21"/>
      <c r="N82" s="21"/>
      <c r="O82" s="21"/>
      <c r="P82" s="21"/>
      <c r="Q82" s="21"/>
      <c r="R82" s="21"/>
      <c r="S82" s="21"/>
      <c r="T82" s="21"/>
      <c r="U82" s="21"/>
      <c r="V82" s="21"/>
      <c r="W82" s="21"/>
      <c r="X82" s="21"/>
      <c r="Y82" s="21"/>
      <c r="Z82" s="21"/>
      <c r="AA82" s="21"/>
      <c r="AB82" s="21"/>
    </row>
    <row r="83" spans="1:52" ht="13.5" outlineLevel="2" thickBot="1" x14ac:dyDescent="0.3">
      <c r="A83" s="18">
        <v>4</v>
      </c>
      <c r="B83" s="19"/>
      <c r="C83" s="19"/>
      <c r="D83" s="20" t="s">
        <v>101</v>
      </c>
      <c r="E83" s="26">
        <v>3</v>
      </c>
      <c r="F83" s="26">
        <v>7</v>
      </c>
      <c r="G83" s="26">
        <v>8</v>
      </c>
      <c r="H83" s="26"/>
      <c r="I83" s="26"/>
      <c r="J83" s="26"/>
      <c r="K83" s="26"/>
      <c r="L83" s="26"/>
      <c r="M83" s="26"/>
      <c r="N83" s="26"/>
      <c r="O83" s="26"/>
      <c r="P83" s="26"/>
      <c r="Q83" s="26"/>
      <c r="R83" s="26"/>
      <c r="S83" s="26"/>
      <c r="T83" s="26"/>
      <c r="U83" s="26"/>
      <c r="V83" s="26"/>
      <c r="W83" s="26"/>
      <c r="X83" s="26"/>
      <c r="Y83" s="26"/>
      <c r="Z83" s="26"/>
      <c r="AA83" s="26"/>
      <c r="AB83" s="26"/>
    </row>
    <row r="84" spans="1:52" ht="13.5" outlineLevel="1" thickBot="1" x14ac:dyDescent="0.3">
      <c r="A84" s="18"/>
      <c r="B84" s="24"/>
      <c r="C84" s="24"/>
      <c r="D84" s="25" t="s">
        <v>102</v>
      </c>
      <c r="E84" s="26">
        <f>SUBTOTAL(9,E80:E83)</f>
        <v>3</v>
      </c>
      <c r="F84" s="26">
        <f t="shared" ref="F84:AB84" si="14">SUBTOTAL(9,F80:F83)</f>
        <v>7</v>
      </c>
      <c r="G84" s="26">
        <f t="shared" si="14"/>
        <v>8</v>
      </c>
      <c r="H84" s="26">
        <f t="shared" si="14"/>
        <v>0</v>
      </c>
      <c r="I84" s="26">
        <f t="shared" si="14"/>
        <v>0</v>
      </c>
      <c r="J84" s="26">
        <f t="shared" si="14"/>
        <v>0</v>
      </c>
      <c r="K84" s="26">
        <f t="shared" si="14"/>
        <v>0</v>
      </c>
      <c r="L84" s="26">
        <f t="shared" si="14"/>
        <v>0</v>
      </c>
      <c r="M84" s="26">
        <f t="shared" si="14"/>
        <v>0</v>
      </c>
      <c r="N84" s="26">
        <f t="shared" si="14"/>
        <v>0</v>
      </c>
      <c r="O84" s="26">
        <f t="shared" si="14"/>
        <v>0</v>
      </c>
      <c r="P84" s="26">
        <f t="shared" si="14"/>
        <v>0</v>
      </c>
      <c r="Q84" s="26">
        <f t="shared" si="14"/>
        <v>0</v>
      </c>
      <c r="R84" s="26">
        <f t="shared" si="14"/>
        <v>0</v>
      </c>
      <c r="S84" s="26">
        <f t="shared" si="14"/>
        <v>0</v>
      </c>
      <c r="T84" s="26">
        <f t="shared" si="14"/>
        <v>0</v>
      </c>
      <c r="U84" s="26">
        <f t="shared" si="14"/>
        <v>0</v>
      </c>
      <c r="V84" s="26">
        <f t="shared" si="14"/>
        <v>0</v>
      </c>
      <c r="W84" s="26">
        <f t="shared" si="14"/>
        <v>0</v>
      </c>
      <c r="X84" s="26">
        <f t="shared" si="14"/>
        <v>0</v>
      </c>
      <c r="Y84" s="26">
        <f t="shared" si="14"/>
        <v>0</v>
      </c>
      <c r="Z84" s="26">
        <f t="shared" si="14"/>
        <v>0</v>
      </c>
      <c r="AA84" s="26">
        <f t="shared" si="14"/>
        <v>0</v>
      </c>
      <c r="AB84" s="26">
        <f t="shared" si="14"/>
        <v>0</v>
      </c>
      <c r="AZ84" s="16">
        <f>SUBTOTAL(9,AZ80:AZ83)</f>
        <v>0</v>
      </c>
    </row>
    <row r="85" spans="1:52" ht="15" customHeight="1" outlineLevel="2" thickBot="1" x14ac:dyDescent="0.3">
      <c r="A85" s="18">
        <v>1</v>
      </c>
      <c r="B85" s="28"/>
      <c r="C85" s="28"/>
      <c r="D85" s="20" t="s">
        <v>103</v>
      </c>
      <c r="E85" s="26"/>
      <c r="F85" s="26"/>
      <c r="G85" s="26"/>
      <c r="H85" s="26"/>
      <c r="I85" s="26"/>
      <c r="J85" s="26"/>
      <c r="K85" s="26"/>
      <c r="L85" s="26"/>
      <c r="M85" s="26"/>
      <c r="N85" s="26"/>
      <c r="O85" s="26"/>
      <c r="P85" s="26"/>
      <c r="Q85" s="26"/>
      <c r="R85" s="26"/>
      <c r="S85" s="26"/>
      <c r="T85" s="26"/>
      <c r="U85" s="26"/>
      <c r="V85" s="26"/>
      <c r="W85" s="26"/>
      <c r="X85" s="26"/>
      <c r="Y85" s="26"/>
      <c r="Z85" s="26"/>
      <c r="AA85" s="26"/>
      <c r="AB85" s="26"/>
      <c r="AD85" s="17"/>
    </row>
    <row r="86" spans="1:52" ht="13.5" outlineLevel="2" thickBot="1" x14ac:dyDescent="0.3">
      <c r="A86" s="18">
        <v>2</v>
      </c>
      <c r="B86" s="28"/>
      <c r="C86" s="28"/>
      <c r="D86" s="20" t="s">
        <v>103</v>
      </c>
      <c r="E86" s="21"/>
      <c r="F86" s="21"/>
      <c r="G86" s="21"/>
      <c r="H86" s="21"/>
      <c r="I86" s="21"/>
      <c r="J86" s="21"/>
      <c r="K86" s="21"/>
      <c r="L86" s="21"/>
      <c r="M86" s="21"/>
      <c r="N86" s="21"/>
      <c r="O86" s="21"/>
      <c r="P86" s="21"/>
      <c r="Q86" s="21"/>
      <c r="R86" s="21"/>
      <c r="S86" s="21"/>
      <c r="T86" s="21"/>
      <c r="U86" s="21"/>
      <c r="V86" s="21"/>
      <c r="W86" s="21"/>
      <c r="X86" s="21"/>
      <c r="Y86" s="21"/>
      <c r="Z86" s="21"/>
      <c r="AA86" s="21"/>
      <c r="AB86" s="21"/>
    </row>
    <row r="87" spans="1:52" ht="13.5" outlineLevel="2" thickBot="1" x14ac:dyDescent="0.3">
      <c r="A87" s="18">
        <v>3</v>
      </c>
      <c r="B87" s="24"/>
      <c r="C87" s="24"/>
      <c r="D87" s="20" t="s">
        <v>103</v>
      </c>
      <c r="E87" s="21"/>
      <c r="F87" s="21"/>
      <c r="G87" s="21"/>
      <c r="H87" s="21"/>
      <c r="I87" s="21"/>
      <c r="J87" s="21"/>
      <c r="K87" s="21"/>
      <c r="L87" s="21"/>
      <c r="M87" s="21"/>
      <c r="N87" s="21"/>
      <c r="O87" s="21"/>
      <c r="P87" s="21"/>
      <c r="Q87" s="21"/>
      <c r="R87" s="21"/>
      <c r="S87" s="21"/>
      <c r="T87" s="21"/>
      <c r="U87" s="21"/>
      <c r="V87" s="21"/>
      <c r="W87" s="21"/>
      <c r="X87" s="21"/>
      <c r="Y87" s="21"/>
      <c r="Z87" s="21"/>
      <c r="AA87" s="21"/>
      <c r="AB87" s="21"/>
    </row>
    <row r="88" spans="1:52" ht="15" customHeight="1" outlineLevel="2" thickBot="1" x14ac:dyDescent="0.3">
      <c r="A88" s="18">
        <v>4</v>
      </c>
      <c r="B88" s="30"/>
      <c r="C88" s="30"/>
      <c r="D88" s="20" t="s">
        <v>103</v>
      </c>
      <c r="E88" s="26"/>
      <c r="F88" s="26"/>
      <c r="G88" s="26"/>
      <c r="H88" s="26"/>
      <c r="I88" s="26"/>
      <c r="J88" s="26"/>
      <c r="K88" s="26"/>
      <c r="L88" s="26"/>
      <c r="M88" s="26"/>
      <c r="N88" s="26"/>
      <c r="O88" s="26"/>
      <c r="P88" s="26"/>
      <c r="Q88" s="26"/>
      <c r="R88" s="26"/>
      <c r="S88" s="26"/>
      <c r="T88" s="26"/>
      <c r="U88" s="26"/>
      <c r="V88" s="26"/>
      <c r="W88" s="26"/>
      <c r="X88" s="26"/>
      <c r="Y88" s="26"/>
      <c r="Z88" s="26"/>
      <c r="AA88" s="26"/>
      <c r="AB88" s="26"/>
    </row>
    <row r="89" spans="1:52" ht="29.25" customHeight="1" outlineLevel="1" thickBot="1" x14ac:dyDescent="0.3">
      <c r="A89" s="18"/>
      <c r="B89" s="24"/>
      <c r="C89" s="24"/>
      <c r="D89" s="25" t="s">
        <v>104</v>
      </c>
      <c r="E89" s="26">
        <f t="shared" ref="E89:AB89" si="15">SUBTOTAL(9,E85:E88)</f>
        <v>0</v>
      </c>
      <c r="F89" s="26">
        <f t="shared" si="15"/>
        <v>0</v>
      </c>
      <c r="G89" s="26">
        <f t="shared" si="15"/>
        <v>0</v>
      </c>
      <c r="H89" s="26">
        <f t="shared" si="15"/>
        <v>0</v>
      </c>
      <c r="I89" s="26">
        <f t="shared" si="15"/>
        <v>0</v>
      </c>
      <c r="J89" s="26">
        <f t="shared" si="15"/>
        <v>0</v>
      </c>
      <c r="K89" s="26">
        <f t="shared" si="15"/>
        <v>0</v>
      </c>
      <c r="L89" s="26">
        <f t="shared" si="15"/>
        <v>0</v>
      </c>
      <c r="M89" s="26">
        <f t="shared" si="15"/>
        <v>0</v>
      </c>
      <c r="N89" s="26">
        <f t="shared" si="15"/>
        <v>0</v>
      </c>
      <c r="O89" s="26">
        <f t="shared" si="15"/>
        <v>0</v>
      </c>
      <c r="P89" s="26">
        <f t="shared" si="15"/>
        <v>0</v>
      </c>
      <c r="Q89" s="26">
        <f t="shared" si="15"/>
        <v>0</v>
      </c>
      <c r="R89" s="26">
        <f t="shared" si="15"/>
        <v>0</v>
      </c>
      <c r="S89" s="26">
        <f t="shared" si="15"/>
        <v>0</v>
      </c>
      <c r="T89" s="26">
        <f t="shared" si="15"/>
        <v>0</v>
      </c>
      <c r="U89" s="26">
        <f t="shared" si="15"/>
        <v>0</v>
      </c>
      <c r="V89" s="26">
        <f t="shared" si="15"/>
        <v>0</v>
      </c>
      <c r="W89" s="26">
        <f t="shared" si="15"/>
        <v>0</v>
      </c>
      <c r="X89" s="26">
        <f t="shared" si="15"/>
        <v>0</v>
      </c>
      <c r="Y89" s="26">
        <f t="shared" si="15"/>
        <v>0</v>
      </c>
      <c r="Z89" s="26">
        <f t="shared" si="15"/>
        <v>0</v>
      </c>
      <c r="AA89" s="26">
        <f t="shared" si="15"/>
        <v>0</v>
      </c>
      <c r="AB89" s="26">
        <f t="shared" si="15"/>
        <v>0</v>
      </c>
      <c r="AZ89" s="16">
        <f>SUBTOTAL(9,AZ85:AZ88)</f>
        <v>0</v>
      </c>
    </row>
    <row r="90" spans="1:52" ht="13.5" outlineLevel="2" thickBot="1" x14ac:dyDescent="0.3">
      <c r="A90" s="18">
        <v>1</v>
      </c>
      <c r="B90" s="19"/>
      <c r="C90" s="19"/>
      <c r="D90" s="20" t="s">
        <v>105</v>
      </c>
      <c r="E90" s="21"/>
      <c r="F90" s="21"/>
      <c r="G90" s="21"/>
      <c r="H90" s="21"/>
      <c r="I90" s="21"/>
      <c r="J90" s="21"/>
      <c r="K90" s="21"/>
      <c r="L90" s="21"/>
      <c r="M90" s="21"/>
      <c r="N90" s="21"/>
      <c r="O90" s="21"/>
      <c r="P90" s="21"/>
      <c r="Q90" s="21"/>
      <c r="R90" s="21"/>
      <c r="S90" s="21"/>
      <c r="T90" s="21"/>
      <c r="U90" s="21"/>
      <c r="V90" s="21"/>
      <c r="W90" s="21"/>
      <c r="X90" s="21"/>
      <c r="Y90" s="21"/>
      <c r="Z90" s="21"/>
      <c r="AA90" s="21"/>
      <c r="AB90" s="21"/>
    </row>
    <row r="91" spans="1:52" ht="13.5" outlineLevel="2" thickBot="1" x14ac:dyDescent="0.3">
      <c r="A91" s="18">
        <v>2</v>
      </c>
      <c r="B91" s="19"/>
      <c r="C91" s="19"/>
      <c r="D91" s="20" t="s">
        <v>105</v>
      </c>
      <c r="E91" s="21"/>
      <c r="F91" s="21"/>
      <c r="G91" s="21"/>
      <c r="H91" s="21"/>
      <c r="I91" s="21"/>
      <c r="J91" s="21"/>
      <c r="K91" s="21"/>
      <c r="L91" s="21"/>
      <c r="M91" s="21"/>
      <c r="N91" s="21"/>
      <c r="O91" s="21"/>
      <c r="P91" s="21"/>
      <c r="Q91" s="21"/>
      <c r="R91" s="21"/>
      <c r="S91" s="21"/>
      <c r="T91" s="21"/>
      <c r="U91" s="21"/>
      <c r="V91" s="21"/>
      <c r="W91" s="21"/>
      <c r="X91" s="21"/>
      <c r="Y91" s="21"/>
      <c r="Z91" s="21"/>
      <c r="AA91" s="21"/>
      <c r="AB91" s="21"/>
    </row>
    <row r="92" spans="1:52" ht="13.5" outlineLevel="2" thickBot="1" x14ac:dyDescent="0.3">
      <c r="A92" s="18">
        <v>3</v>
      </c>
      <c r="B92" s="19"/>
      <c r="C92" s="19"/>
      <c r="D92" s="20" t="s">
        <v>105</v>
      </c>
      <c r="E92" s="21"/>
      <c r="F92" s="21"/>
      <c r="G92" s="21"/>
      <c r="H92" s="21"/>
      <c r="I92" s="21"/>
      <c r="J92" s="21"/>
      <c r="K92" s="21"/>
      <c r="L92" s="21"/>
      <c r="M92" s="21"/>
      <c r="N92" s="21"/>
      <c r="O92" s="21"/>
      <c r="P92" s="21"/>
      <c r="Q92" s="21"/>
      <c r="R92" s="21"/>
      <c r="S92" s="21"/>
      <c r="T92" s="21"/>
      <c r="U92" s="21"/>
      <c r="V92" s="21"/>
      <c r="W92" s="21"/>
      <c r="X92" s="21"/>
      <c r="Y92" s="21"/>
      <c r="Z92" s="21"/>
      <c r="AA92" s="21"/>
      <c r="AB92" s="21"/>
    </row>
    <row r="93" spans="1:52" ht="13.5" outlineLevel="2" thickBot="1" x14ac:dyDescent="0.3">
      <c r="A93" s="18">
        <v>4</v>
      </c>
      <c r="B93" s="19"/>
      <c r="C93" s="19"/>
      <c r="D93" s="20" t="s">
        <v>105</v>
      </c>
      <c r="E93" s="21"/>
      <c r="F93" s="21"/>
      <c r="G93" s="21"/>
      <c r="H93" s="21"/>
      <c r="I93" s="21"/>
      <c r="J93" s="21"/>
      <c r="K93" s="21"/>
      <c r="L93" s="21"/>
      <c r="M93" s="21"/>
      <c r="N93" s="21"/>
      <c r="O93" s="21"/>
      <c r="P93" s="21"/>
      <c r="Q93" s="21"/>
      <c r="R93" s="21"/>
      <c r="S93" s="21"/>
      <c r="T93" s="21"/>
      <c r="U93" s="21"/>
      <c r="V93" s="21"/>
      <c r="W93" s="21"/>
      <c r="X93" s="21"/>
      <c r="Y93" s="21"/>
      <c r="Z93" s="21"/>
      <c r="AA93" s="21"/>
      <c r="AB93" s="21"/>
    </row>
    <row r="94" spans="1:52" s="32" customFormat="1" ht="13.5" outlineLevel="1" thickBot="1" x14ac:dyDescent="0.35">
      <c r="A94" s="18"/>
      <c r="B94" s="36"/>
      <c r="C94" s="36"/>
      <c r="D94" s="25" t="s">
        <v>106</v>
      </c>
      <c r="E94" s="26">
        <f t="shared" ref="E94:AB94" si="16">SUBTOTAL(9,E90:E93)</f>
        <v>0</v>
      </c>
      <c r="F94" s="26">
        <f t="shared" si="16"/>
        <v>0</v>
      </c>
      <c r="G94" s="26">
        <f t="shared" si="16"/>
        <v>0</v>
      </c>
      <c r="H94" s="26">
        <f t="shared" si="16"/>
        <v>0</v>
      </c>
      <c r="I94" s="26">
        <f t="shared" si="16"/>
        <v>0</v>
      </c>
      <c r="J94" s="26">
        <f t="shared" si="16"/>
        <v>0</v>
      </c>
      <c r="K94" s="26">
        <f t="shared" si="16"/>
        <v>0</v>
      </c>
      <c r="L94" s="26">
        <f t="shared" si="16"/>
        <v>0</v>
      </c>
      <c r="M94" s="26">
        <f t="shared" si="16"/>
        <v>0</v>
      </c>
      <c r="N94" s="26">
        <f t="shared" si="16"/>
        <v>0</v>
      </c>
      <c r="O94" s="26">
        <f t="shared" si="16"/>
        <v>0</v>
      </c>
      <c r="P94" s="26">
        <f t="shared" si="16"/>
        <v>0</v>
      </c>
      <c r="Q94" s="26">
        <f t="shared" si="16"/>
        <v>0</v>
      </c>
      <c r="R94" s="26">
        <f t="shared" si="16"/>
        <v>0</v>
      </c>
      <c r="S94" s="26">
        <f t="shared" si="16"/>
        <v>0</v>
      </c>
      <c r="T94" s="26">
        <f t="shared" si="16"/>
        <v>0</v>
      </c>
      <c r="U94" s="26">
        <f t="shared" si="16"/>
        <v>0</v>
      </c>
      <c r="V94" s="26">
        <f t="shared" si="16"/>
        <v>0</v>
      </c>
      <c r="W94" s="26">
        <f t="shared" si="16"/>
        <v>0</v>
      </c>
      <c r="X94" s="26">
        <f t="shared" si="16"/>
        <v>0</v>
      </c>
      <c r="Y94" s="26">
        <f t="shared" si="16"/>
        <v>0</v>
      </c>
      <c r="Z94" s="26">
        <f t="shared" si="16"/>
        <v>0</v>
      </c>
      <c r="AA94" s="26">
        <f t="shared" si="16"/>
        <v>0</v>
      </c>
      <c r="AB94" s="26">
        <f t="shared" si="16"/>
        <v>0</v>
      </c>
      <c r="AZ94" s="32">
        <f>SUBTOTAL(9,AZ90:AZ93)</f>
        <v>0</v>
      </c>
    </row>
    <row r="95" spans="1:52" ht="12.75" customHeight="1" outlineLevel="2" thickBot="1" x14ac:dyDescent="0.3">
      <c r="A95" s="18">
        <v>1</v>
      </c>
      <c r="B95" s="24"/>
      <c r="C95" s="24"/>
      <c r="D95" s="20" t="str">
        <v xml:space="preserve">Villanueva </v>
      </c>
      <c r="E95" s="21"/>
      <c r="F95" s="21"/>
      <c r="G95" s="21"/>
      <c r="H95" s="21"/>
      <c r="I95" s="21"/>
      <c r="J95" s="21"/>
      <c r="K95" s="21"/>
      <c r="L95" s="21"/>
      <c r="M95" s="21"/>
      <c r="N95" s="21"/>
      <c r="O95" s="21"/>
      <c r="P95" s="21"/>
      <c r="Q95" s="21"/>
      <c r="R95" s="21"/>
      <c r="S95" s="21"/>
      <c r="T95" s="21"/>
      <c r="U95" s="21"/>
      <c r="V95" s="21"/>
      <c r="W95" s="21"/>
      <c r="X95" s="21"/>
      <c r="Y95" s="21"/>
      <c r="Z95" s="21"/>
      <c r="AA95" s="21"/>
      <c r="AB95" s="21"/>
    </row>
    <row r="96" spans="1:52" ht="13.5" outlineLevel="2" thickBot="1" x14ac:dyDescent="0.3">
      <c r="A96" s="18">
        <v>2</v>
      </c>
      <c r="B96" s="24"/>
      <c r="C96" s="24"/>
      <c r="D96" s="20" t="str">
        <v xml:space="preserve">Villanueva </v>
      </c>
      <c r="E96" s="21"/>
      <c r="F96" s="21"/>
      <c r="G96" s="21"/>
      <c r="H96" s="21"/>
      <c r="I96" s="21"/>
      <c r="J96" s="21"/>
      <c r="K96" s="21"/>
      <c r="L96" s="21"/>
      <c r="M96" s="21"/>
      <c r="N96" s="21"/>
      <c r="O96" s="21"/>
      <c r="P96" s="21"/>
      <c r="Q96" s="21"/>
      <c r="R96" s="21"/>
      <c r="S96" s="21"/>
      <c r="T96" s="21"/>
      <c r="U96" s="21"/>
      <c r="V96" s="21"/>
      <c r="W96" s="21"/>
      <c r="X96" s="21"/>
      <c r="Y96" s="21"/>
      <c r="Z96" s="21"/>
      <c r="AA96" s="21"/>
      <c r="AB96" s="21"/>
    </row>
    <row r="97" spans="1:52" ht="13.5" outlineLevel="2" thickBot="1" x14ac:dyDescent="0.3">
      <c r="A97" s="18">
        <v>3</v>
      </c>
      <c r="B97" s="24"/>
      <c r="C97" s="24"/>
      <c r="D97" s="20" t="str">
        <v xml:space="preserve">Villanueva </v>
      </c>
      <c r="E97" s="21"/>
      <c r="F97" s="21"/>
      <c r="G97" s="21"/>
      <c r="H97" s="21"/>
      <c r="I97" s="21"/>
      <c r="J97" s="21"/>
      <c r="K97" s="21"/>
      <c r="L97" s="21"/>
      <c r="M97" s="21"/>
      <c r="N97" s="21"/>
      <c r="O97" s="21"/>
      <c r="P97" s="21"/>
      <c r="Q97" s="21"/>
      <c r="R97" s="21"/>
      <c r="S97" s="21"/>
      <c r="T97" s="21"/>
      <c r="U97" s="21"/>
      <c r="V97" s="21"/>
      <c r="W97" s="21"/>
      <c r="X97" s="21"/>
      <c r="Y97" s="21"/>
      <c r="Z97" s="21"/>
      <c r="AA97" s="21"/>
      <c r="AB97" s="21"/>
    </row>
    <row r="98" spans="1:52" ht="17.25" customHeight="1" outlineLevel="2" thickBot="1" x14ac:dyDescent="0.3">
      <c r="A98" s="18">
        <v>4</v>
      </c>
      <c r="B98" s="33"/>
      <c r="C98" s="33"/>
      <c r="D98" s="20" t="str">
        <v xml:space="preserve">Villanueva </v>
      </c>
      <c r="E98" s="21"/>
      <c r="F98" s="21"/>
      <c r="G98" s="21"/>
      <c r="H98" s="21"/>
      <c r="I98" s="21"/>
      <c r="J98" s="21"/>
      <c r="K98" s="21"/>
      <c r="L98" s="21"/>
      <c r="M98" s="21"/>
      <c r="N98" s="21"/>
      <c r="O98" s="21"/>
      <c r="P98" s="21"/>
      <c r="Q98" s="21"/>
      <c r="R98" s="21"/>
      <c r="S98" s="21"/>
      <c r="T98" s="21"/>
      <c r="U98" s="21"/>
      <c r="V98" s="21"/>
      <c r="W98" s="21"/>
      <c r="X98" s="21"/>
      <c r="Y98" s="21"/>
      <c r="Z98" s="21"/>
      <c r="AA98" s="21"/>
      <c r="AB98" s="21"/>
    </row>
    <row r="99" spans="1:52" ht="21.75" customHeight="1" outlineLevel="1" thickBot="1" x14ac:dyDescent="0.3">
      <c r="A99" s="18"/>
      <c r="B99" s="24"/>
      <c r="C99" s="24"/>
      <c r="D99" s="25" t="s">
        <v>107</v>
      </c>
      <c r="E99" s="26">
        <f t="shared" ref="E99:AB99" si="17">SUBTOTAL(9,E95:E98)</f>
        <v>0</v>
      </c>
      <c r="F99" s="26">
        <f t="shared" si="17"/>
        <v>0</v>
      </c>
      <c r="G99" s="26">
        <f t="shared" si="17"/>
        <v>0</v>
      </c>
      <c r="H99" s="26">
        <f t="shared" si="17"/>
        <v>0</v>
      </c>
      <c r="I99" s="26">
        <f t="shared" si="17"/>
        <v>0</v>
      </c>
      <c r="J99" s="26">
        <f t="shared" si="17"/>
        <v>0</v>
      </c>
      <c r="K99" s="26">
        <f t="shared" si="17"/>
        <v>0</v>
      </c>
      <c r="L99" s="26">
        <f t="shared" si="17"/>
        <v>0</v>
      </c>
      <c r="M99" s="26">
        <f t="shared" si="17"/>
        <v>0</v>
      </c>
      <c r="N99" s="26">
        <f t="shared" si="17"/>
        <v>0</v>
      </c>
      <c r="O99" s="26">
        <f t="shared" si="17"/>
        <v>0</v>
      </c>
      <c r="P99" s="26">
        <f t="shared" si="17"/>
        <v>0</v>
      </c>
      <c r="Q99" s="26">
        <f t="shared" si="17"/>
        <v>0</v>
      </c>
      <c r="R99" s="26">
        <f t="shared" si="17"/>
        <v>0</v>
      </c>
      <c r="S99" s="26">
        <f t="shared" si="17"/>
        <v>0</v>
      </c>
      <c r="T99" s="26">
        <f t="shared" si="17"/>
        <v>0</v>
      </c>
      <c r="U99" s="26">
        <f t="shared" si="17"/>
        <v>0</v>
      </c>
      <c r="V99" s="26">
        <f t="shared" si="17"/>
        <v>0</v>
      </c>
      <c r="W99" s="26">
        <f t="shared" si="17"/>
        <v>0</v>
      </c>
      <c r="X99" s="26">
        <f t="shared" si="17"/>
        <v>0</v>
      </c>
      <c r="Y99" s="26">
        <f t="shared" si="17"/>
        <v>0</v>
      </c>
      <c r="Z99" s="26">
        <f t="shared" si="17"/>
        <v>0</v>
      </c>
      <c r="AA99" s="26">
        <f t="shared" si="17"/>
        <v>0</v>
      </c>
      <c r="AB99" s="26">
        <f t="shared" si="17"/>
        <v>0</v>
      </c>
      <c r="AZ99" s="16">
        <f>SUBTOTAL(9,AZ95:AZ98)</f>
        <v>0</v>
      </c>
    </row>
    <row r="100" spans="1:52" ht="13.5" outlineLevel="2" thickBot="1" x14ac:dyDescent="0.3">
      <c r="A100" s="18">
        <v>1</v>
      </c>
      <c r="B100" s="19"/>
      <c r="C100" s="19"/>
      <c r="D100" s="20" t="s">
        <v>108</v>
      </c>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row>
    <row r="101" spans="1:52" ht="13.5" outlineLevel="2" thickBot="1" x14ac:dyDescent="0.3">
      <c r="A101" s="18">
        <v>2</v>
      </c>
      <c r="B101" s="24"/>
      <c r="C101" s="24"/>
      <c r="D101" s="20" t="s">
        <v>108</v>
      </c>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row>
    <row r="102" spans="1:52" ht="25.5" customHeight="1" outlineLevel="2" thickBot="1" x14ac:dyDescent="0.3">
      <c r="A102" s="18">
        <v>3</v>
      </c>
      <c r="B102" s="24"/>
      <c r="C102" s="24"/>
      <c r="D102" s="20" t="s">
        <v>108</v>
      </c>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row>
    <row r="103" spans="1:52" ht="13.5" outlineLevel="2" thickBot="1" x14ac:dyDescent="0.3">
      <c r="A103" s="18">
        <v>4</v>
      </c>
      <c r="B103" s="19"/>
      <c r="C103" s="19"/>
      <c r="D103" s="20" t="s">
        <v>108</v>
      </c>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row>
    <row r="104" spans="1:52" s="32" customFormat="1" ht="13.5" outlineLevel="1" thickBot="1" x14ac:dyDescent="0.35">
      <c r="A104" s="18"/>
      <c r="B104" s="31"/>
      <c r="C104" s="31"/>
      <c r="D104" s="25" t="s">
        <v>109</v>
      </c>
      <c r="E104" s="26">
        <f t="shared" ref="E104:AB104" si="18">SUBTOTAL(9,E100:E103)</f>
        <v>0</v>
      </c>
      <c r="F104" s="26">
        <f t="shared" si="18"/>
        <v>0</v>
      </c>
      <c r="G104" s="26">
        <f t="shared" si="18"/>
        <v>0</v>
      </c>
      <c r="H104" s="26">
        <f t="shared" si="18"/>
        <v>0</v>
      </c>
      <c r="I104" s="26">
        <f t="shared" si="18"/>
        <v>0</v>
      </c>
      <c r="J104" s="26">
        <f t="shared" si="18"/>
        <v>0</v>
      </c>
      <c r="K104" s="26">
        <f t="shared" si="18"/>
        <v>0</v>
      </c>
      <c r="L104" s="26">
        <f t="shared" si="18"/>
        <v>0</v>
      </c>
      <c r="M104" s="26">
        <f t="shared" si="18"/>
        <v>0</v>
      </c>
      <c r="N104" s="26">
        <f t="shared" si="18"/>
        <v>0</v>
      </c>
      <c r="O104" s="26">
        <f t="shared" si="18"/>
        <v>0</v>
      </c>
      <c r="P104" s="26">
        <f t="shared" si="18"/>
        <v>0</v>
      </c>
      <c r="Q104" s="26">
        <f t="shared" si="18"/>
        <v>0</v>
      </c>
      <c r="R104" s="26">
        <f t="shared" si="18"/>
        <v>0</v>
      </c>
      <c r="S104" s="26">
        <f t="shared" si="18"/>
        <v>0</v>
      </c>
      <c r="T104" s="26">
        <f t="shared" si="18"/>
        <v>0</v>
      </c>
      <c r="U104" s="26">
        <f t="shared" si="18"/>
        <v>0</v>
      </c>
      <c r="V104" s="26">
        <f t="shared" si="18"/>
        <v>0</v>
      </c>
      <c r="W104" s="26">
        <f t="shared" si="18"/>
        <v>0</v>
      </c>
      <c r="X104" s="26">
        <f t="shared" si="18"/>
        <v>0</v>
      </c>
      <c r="Y104" s="26">
        <f t="shared" si="18"/>
        <v>0</v>
      </c>
      <c r="Z104" s="26">
        <f t="shared" si="18"/>
        <v>0</v>
      </c>
      <c r="AA104" s="26">
        <f t="shared" si="18"/>
        <v>0</v>
      </c>
      <c r="AB104" s="26">
        <f t="shared" si="18"/>
        <v>0</v>
      </c>
      <c r="AZ104" s="32">
        <f>SUBTOTAL(9,AZ100:AZ103)</f>
        <v>0</v>
      </c>
    </row>
    <row r="105" spans="1:52" ht="13.5" thickBot="1" x14ac:dyDescent="0.3">
      <c r="A105" s="18"/>
      <c r="B105" s="24"/>
      <c r="C105" s="24"/>
      <c r="D105" s="25" t="s">
        <v>110</v>
      </c>
      <c r="E105" s="26">
        <f>+E104+E99+E94+E89+E84+E79+E74+E69+E64+E59+E54+E49+E44+E39+E34+E29+E24+E19+E14</f>
        <v>13</v>
      </c>
      <c r="F105" s="26">
        <f t="shared" ref="F105:AB105" si="19">+F104+F99+F94+F89+F84+F79+F74+F69+F64+F59+F54+F49+F44+F39+F34+F29+F24+F19+F14</f>
        <v>24</v>
      </c>
      <c r="G105" s="26">
        <f t="shared" si="19"/>
        <v>21</v>
      </c>
      <c r="H105" s="26">
        <f t="shared" si="19"/>
        <v>9</v>
      </c>
      <c r="I105" s="26">
        <f t="shared" si="19"/>
        <v>0</v>
      </c>
      <c r="J105" s="26">
        <f t="shared" si="19"/>
        <v>0</v>
      </c>
      <c r="K105" s="26">
        <f t="shared" si="19"/>
        <v>5</v>
      </c>
      <c r="L105" s="26">
        <f t="shared" si="19"/>
        <v>12</v>
      </c>
      <c r="M105" s="26">
        <f t="shared" si="19"/>
        <v>0</v>
      </c>
      <c r="N105" s="26">
        <f t="shared" si="19"/>
        <v>0</v>
      </c>
      <c r="O105" s="26">
        <f t="shared" si="19"/>
        <v>0</v>
      </c>
      <c r="P105" s="26">
        <f t="shared" si="19"/>
        <v>0</v>
      </c>
      <c r="Q105" s="26">
        <f t="shared" si="19"/>
        <v>0</v>
      </c>
      <c r="R105" s="26">
        <f t="shared" si="19"/>
        <v>0</v>
      </c>
      <c r="S105" s="26">
        <f t="shared" si="19"/>
        <v>0</v>
      </c>
      <c r="T105" s="26">
        <f t="shared" si="19"/>
        <v>0</v>
      </c>
      <c r="U105" s="26">
        <f t="shared" si="19"/>
        <v>0</v>
      </c>
      <c r="V105" s="26">
        <f t="shared" si="19"/>
        <v>3</v>
      </c>
      <c r="W105" s="26">
        <f t="shared" si="19"/>
        <v>15</v>
      </c>
      <c r="X105" s="26">
        <f t="shared" si="19"/>
        <v>2</v>
      </c>
      <c r="Y105" s="26">
        <f t="shared" si="19"/>
        <v>7</v>
      </c>
      <c r="Z105" s="26">
        <f t="shared" si="19"/>
        <v>5</v>
      </c>
      <c r="AA105" s="26">
        <f t="shared" si="19"/>
        <v>3</v>
      </c>
      <c r="AB105" s="26">
        <f t="shared" si="19"/>
        <v>80</v>
      </c>
      <c r="AZ105" s="16">
        <f>SUBTOTAL(9,AZ8:AZ103)</f>
        <v>0</v>
      </c>
    </row>
    <row r="107" spans="1:52" x14ac:dyDescent="0.3">
      <c r="B107" s="144" t="s">
        <v>111</v>
      </c>
      <c r="C107" s="144"/>
      <c r="D107" s="144"/>
      <c r="E107" s="144"/>
      <c r="F107" s="144"/>
      <c r="G107" s="144"/>
      <c r="H107" s="144"/>
      <c r="I107" s="144"/>
      <c r="J107" s="144"/>
      <c r="K107" s="144"/>
      <c r="L107" s="145"/>
      <c r="M107" s="145"/>
      <c r="N107" s="145"/>
      <c r="O107" s="145"/>
      <c r="P107" s="145"/>
      <c r="Q107" s="145"/>
      <c r="R107" s="145"/>
      <c r="S107" s="145"/>
    </row>
    <row r="108" spans="1:52" x14ac:dyDescent="0.3">
      <c r="B108" s="37"/>
      <c r="C108" s="37"/>
      <c r="D108" s="37"/>
      <c r="E108" s="37"/>
      <c r="F108" s="37"/>
      <c r="G108" s="37"/>
      <c r="H108" s="37"/>
      <c r="I108" s="37"/>
      <c r="J108" s="37"/>
      <c r="K108" s="37"/>
      <c r="L108" s="17"/>
      <c r="M108" s="17"/>
      <c r="N108" s="17"/>
      <c r="O108" s="17"/>
      <c r="P108" s="17"/>
      <c r="Q108" s="17"/>
      <c r="R108" s="17"/>
      <c r="S108" s="17"/>
    </row>
    <row r="110" spans="1:52" x14ac:dyDescent="0.3">
      <c r="B110" s="144" t="s">
        <v>112</v>
      </c>
      <c r="C110" s="144"/>
      <c r="D110" s="144"/>
      <c r="E110" s="144"/>
      <c r="F110" s="144"/>
      <c r="G110" s="144"/>
      <c r="H110" s="144"/>
      <c r="I110" s="144"/>
      <c r="J110" s="144"/>
      <c r="K110" s="144"/>
      <c r="L110" s="146"/>
      <c r="M110" s="146"/>
      <c r="N110" s="146"/>
      <c r="O110" s="146"/>
      <c r="P110" s="146"/>
      <c r="Q110" s="146"/>
      <c r="R110" s="146"/>
      <c r="S110" s="146"/>
    </row>
    <row r="1043544" spans="4:4" x14ac:dyDescent="0.25">
      <c r="D1043544" s="22">
        <v>15</v>
      </c>
    </row>
    <row r="1043545" spans="4:4" x14ac:dyDescent="0.25">
      <c r="D1043545" s="22" t="s">
        <v>9</v>
      </c>
    </row>
    <row r="1043546" spans="4:4" x14ac:dyDescent="0.25">
      <c r="D1043546" s="22" t="s">
        <v>9</v>
      </c>
    </row>
    <row r="1043547" spans="4:4" x14ac:dyDescent="0.25">
      <c r="D1043547" s="22">
        <v>15</v>
      </c>
    </row>
    <row r="1043548" spans="4:4" x14ac:dyDescent="0.25">
      <c r="D1043548" s="22">
        <v>10</v>
      </c>
    </row>
    <row r="1043549" spans="4:4" x14ac:dyDescent="0.25">
      <c r="D1043549" s="22">
        <v>15</v>
      </c>
    </row>
    <row r="1043550" spans="4:4" x14ac:dyDescent="0.25">
      <c r="D1043550" s="22">
        <v>15</v>
      </c>
    </row>
    <row r="1043551" spans="4:4" x14ac:dyDescent="0.25">
      <c r="D1043551" s="22">
        <v>30</v>
      </c>
    </row>
    <row r="1043552" spans="4:4" x14ac:dyDescent="0.25">
      <c r="D1043552" s="38" t="s">
        <v>14</v>
      </c>
    </row>
    <row r="1043554" spans="5:5" x14ac:dyDescent="0.25">
      <c r="E1043554" s="22" t="s">
        <v>113</v>
      </c>
    </row>
    <row r="1043555" spans="5:5" x14ac:dyDescent="0.25">
      <c r="E1043555" s="22" t="s">
        <v>17</v>
      </c>
    </row>
    <row r="1043556" spans="5:5" x14ac:dyDescent="0.25">
      <c r="E1043556" s="22" t="s">
        <v>114</v>
      </c>
    </row>
    <row r="1043557" spans="5:5" x14ac:dyDescent="0.25">
      <c r="E1043557" s="22" t="s">
        <v>115</v>
      </c>
    </row>
  </sheetData>
  <mergeCells count="39">
    <mergeCell ref="O7:O9"/>
    <mergeCell ref="P7:Q7"/>
    <mergeCell ref="P8:P9"/>
    <mergeCell ref="Q8:Q9"/>
    <mergeCell ref="G8:J8"/>
    <mergeCell ref="B107:K107"/>
    <mergeCell ref="L107:M107"/>
    <mergeCell ref="N107:S107"/>
    <mergeCell ref="B110:K110"/>
    <mergeCell ref="L110:S110"/>
    <mergeCell ref="L8:L9"/>
    <mergeCell ref="M8:M9"/>
    <mergeCell ref="N8:N9"/>
    <mergeCell ref="R8:R9"/>
    <mergeCell ref="AC51:AE51"/>
    <mergeCell ref="S8:S9"/>
    <mergeCell ref="T8:T9"/>
    <mergeCell ref="U8:U9"/>
    <mergeCell ref="V8:V9"/>
    <mergeCell ref="W8:W9"/>
    <mergeCell ref="X8:X9"/>
    <mergeCell ref="Y8:Y9"/>
    <mergeCell ref="Z8:Z9"/>
    <mergeCell ref="AA8:AA9"/>
    <mergeCell ref="A1:AB1"/>
    <mergeCell ref="A3:AB3"/>
    <mergeCell ref="B5:D5"/>
    <mergeCell ref="E5:AB5"/>
    <mergeCell ref="A7:A9"/>
    <mergeCell ref="B7:B9"/>
    <mergeCell ref="C7:C9"/>
    <mergeCell ref="D7:D9"/>
    <mergeCell ref="E7:F8"/>
    <mergeCell ref="G7:K7"/>
    <mergeCell ref="L7:N7"/>
    <mergeCell ref="R7:U7"/>
    <mergeCell ref="V7:AA7"/>
    <mergeCell ref="AB7:AB9"/>
    <mergeCell ref="K8:K9"/>
  </mergeCells>
  <pageMargins left="0.7" right="0.7" top="0.75" bottom="0.75" header="0.3" footer="0.3"/>
  <pageSetup scale="37"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1043564"/>
  <sheetViews>
    <sheetView zoomScale="94" zoomScaleNormal="120" zoomScaleSheetLayoutView="90" workbookViewId="0">
      <selection activeCell="E8" sqref="E8:H8"/>
    </sheetView>
  </sheetViews>
  <sheetFormatPr baseColWidth="10" defaultColWidth="11.453125" defaultRowHeight="13" x14ac:dyDescent="0.25"/>
  <cols>
    <col min="1" max="1" width="3.08984375" style="34" customWidth="1"/>
    <col min="2" max="2" width="20" style="22" bestFit="1" customWidth="1"/>
    <col min="3" max="4" width="4.08984375" style="22" customWidth="1"/>
    <col min="5" max="13" width="2.90625" style="22" customWidth="1"/>
    <col min="14" max="15" width="4.54296875" style="22" customWidth="1"/>
    <col min="16" max="16" width="2.90625" style="35" customWidth="1"/>
    <col min="17" max="22" width="2.90625" style="22" customWidth="1"/>
    <col min="23" max="25" width="2.90625" style="16" customWidth="1"/>
    <col min="26" max="16384" width="11.453125" style="16"/>
  </cols>
  <sheetData>
    <row r="1" spans="1:26" ht="39.75" customHeight="1" x14ac:dyDescent="0.25">
      <c r="A1" s="163" t="s">
        <v>122</v>
      </c>
      <c r="B1" s="164"/>
      <c r="C1" s="164"/>
      <c r="D1" s="164"/>
      <c r="E1" s="164"/>
      <c r="F1" s="164"/>
      <c r="G1" s="164"/>
      <c r="H1" s="164"/>
      <c r="I1" s="164"/>
      <c r="J1" s="164"/>
      <c r="K1" s="164"/>
      <c r="L1" s="164"/>
      <c r="M1" s="164"/>
      <c r="N1" s="164"/>
      <c r="O1" s="164"/>
      <c r="P1" s="164"/>
      <c r="Q1" s="164"/>
      <c r="R1" s="164"/>
      <c r="S1" s="164"/>
      <c r="T1" s="164"/>
      <c r="U1" s="164"/>
      <c r="V1" s="164"/>
      <c r="W1" s="164"/>
      <c r="X1" s="164"/>
      <c r="Y1" s="164"/>
      <c r="Z1" s="164"/>
    </row>
    <row r="2" spans="1:26" hidden="1" x14ac:dyDescent="0.25">
      <c r="A2" s="17"/>
      <c r="B2" s="17"/>
      <c r="C2" s="17"/>
      <c r="D2" s="17"/>
      <c r="E2" s="17"/>
      <c r="F2" s="17"/>
      <c r="G2" s="17"/>
      <c r="H2" s="17"/>
      <c r="I2" s="17"/>
      <c r="J2" s="17"/>
      <c r="K2" s="17"/>
      <c r="L2" s="17"/>
      <c r="M2" s="17"/>
      <c r="N2" s="17"/>
      <c r="O2" s="17"/>
      <c r="P2" s="17"/>
      <c r="Q2" s="17"/>
      <c r="R2" s="17"/>
      <c r="S2" s="17"/>
      <c r="T2" s="17"/>
      <c r="U2" s="17"/>
      <c r="V2" s="17"/>
    </row>
    <row r="3" spans="1:26" ht="36" customHeight="1" x14ac:dyDescent="0.25">
      <c r="A3" s="163" t="s">
        <v>121</v>
      </c>
      <c r="B3" s="164"/>
      <c r="C3" s="164"/>
      <c r="D3" s="164"/>
      <c r="E3" s="164"/>
      <c r="F3" s="164"/>
      <c r="G3" s="164"/>
      <c r="H3" s="164"/>
      <c r="I3" s="164"/>
      <c r="J3" s="164"/>
      <c r="K3" s="164"/>
      <c r="L3" s="164"/>
      <c r="M3" s="164"/>
      <c r="N3" s="164"/>
      <c r="O3" s="164"/>
      <c r="P3" s="164"/>
      <c r="Q3" s="164"/>
      <c r="R3" s="164"/>
      <c r="S3" s="164"/>
      <c r="T3" s="164"/>
      <c r="U3" s="164"/>
      <c r="V3" s="164"/>
      <c r="W3" s="164"/>
      <c r="X3" s="164"/>
      <c r="Y3" s="164"/>
      <c r="Z3" s="164"/>
    </row>
    <row r="4" spans="1:26" ht="16.5" hidden="1" customHeight="1" x14ac:dyDescent="0.25">
      <c r="A4" s="17"/>
      <c r="B4" s="17"/>
      <c r="C4" s="17"/>
      <c r="D4" s="17"/>
      <c r="E4" s="17"/>
      <c r="F4" s="17"/>
      <c r="G4" s="17"/>
      <c r="H4" s="17"/>
      <c r="I4" s="17"/>
      <c r="J4" s="17"/>
      <c r="K4" s="17"/>
      <c r="L4" s="17"/>
      <c r="M4" s="17"/>
      <c r="N4" s="17"/>
      <c r="O4" s="17"/>
      <c r="P4" s="17"/>
      <c r="Q4" s="17"/>
      <c r="R4" s="17"/>
      <c r="S4" s="17"/>
      <c r="T4" s="17"/>
      <c r="U4" s="17"/>
      <c r="V4" s="17"/>
    </row>
    <row r="5" spans="1:26" ht="30.75" customHeight="1" x14ac:dyDescent="0.25">
      <c r="B5" s="17" t="s">
        <v>58</v>
      </c>
      <c r="C5" s="161"/>
      <c r="D5" s="162"/>
      <c r="E5" s="162"/>
      <c r="F5" s="162"/>
      <c r="G5" s="162"/>
      <c r="H5" s="162"/>
      <c r="I5" s="162"/>
      <c r="J5" s="162"/>
      <c r="K5" s="162"/>
      <c r="L5" s="162"/>
      <c r="M5" s="162"/>
      <c r="N5" s="162"/>
      <c r="O5" s="162"/>
      <c r="P5" s="162"/>
      <c r="Q5" s="162"/>
      <c r="R5" s="162"/>
      <c r="S5" s="162"/>
      <c r="T5" s="162"/>
      <c r="U5" s="162"/>
      <c r="V5" s="162"/>
      <c r="W5" s="162"/>
      <c r="X5" s="162"/>
      <c r="Y5" s="162"/>
      <c r="Z5" s="162"/>
    </row>
    <row r="6" spans="1:26" hidden="1" x14ac:dyDescent="0.25">
      <c r="A6" s="41"/>
      <c r="B6" s="40"/>
      <c r="C6" s="40"/>
      <c r="D6" s="40"/>
      <c r="E6" s="40"/>
      <c r="F6" s="40"/>
      <c r="G6" s="40"/>
      <c r="H6" s="40"/>
      <c r="I6" s="40"/>
      <c r="J6" s="40"/>
      <c r="K6" s="40"/>
      <c r="L6" s="40"/>
      <c r="M6" s="40"/>
      <c r="N6" s="40"/>
      <c r="O6" s="40"/>
      <c r="P6" s="40"/>
      <c r="Q6" s="40"/>
      <c r="R6" s="40"/>
      <c r="S6" s="40"/>
      <c r="T6" s="40"/>
    </row>
    <row r="7" spans="1:26" ht="27.75" customHeight="1" x14ac:dyDescent="0.25">
      <c r="A7" s="139" t="s">
        <v>19</v>
      </c>
      <c r="B7" s="139" t="s">
        <v>120</v>
      </c>
      <c r="C7" s="168" t="s">
        <v>66</v>
      </c>
      <c r="D7" s="168"/>
      <c r="E7" s="165" t="s">
        <v>22</v>
      </c>
      <c r="F7" s="166"/>
      <c r="G7" s="166"/>
      <c r="H7" s="166"/>
      <c r="I7" s="167"/>
      <c r="J7" s="172" t="s">
        <v>499</v>
      </c>
      <c r="K7" s="173"/>
      <c r="L7" s="173"/>
      <c r="M7" s="176" t="s">
        <v>500</v>
      </c>
      <c r="N7" s="177" t="s">
        <v>501</v>
      </c>
      <c r="O7" s="177"/>
      <c r="P7" s="168" t="s">
        <v>26</v>
      </c>
      <c r="Q7" s="168"/>
      <c r="R7" s="168"/>
      <c r="S7" s="168"/>
      <c r="T7" s="169" t="s">
        <v>67</v>
      </c>
      <c r="U7" s="169"/>
      <c r="V7" s="169"/>
      <c r="W7" s="169"/>
      <c r="X7" s="169"/>
      <c r="Y7" s="169"/>
      <c r="Z7" s="160" t="s">
        <v>68</v>
      </c>
    </row>
    <row r="8" spans="1:26" ht="42" customHeight="1" x14ac:dyDescent="0.25">
      <c r="A8" s="139"/>
      <c r="B8" s="139"/>
      <c r="C8" s="168"/>
      <c r="D8" s="168"/>
      <c r="E8" s="178" t="s">
        <v>298</v>
      </c>
      <c r="F8" s="179"/>
      <c r="G8" s="179"/>
      <c r="H8" s="180"/>
      <c r="I8" s="106" t="s">
        <v>299</v>
      </c>
      <c r="J8" s="106" t="s">
        <v>25</v>
      </c>
      <c r="K8" s="106" t="s">
        <v>32</v>
      </c>
      <c r="L8" s="106" t="s">
        <v>292</v>
      </c>
      <c r="M8" s="176"/>
      <c r="N8" s="132" t="s">
        <v>461</v>
      </c>
      <c r="O8" s="132" t="s">
        <v>462</v>
      </c>
      <c r="P8" s="117" t="s">
        <v>30</v>
      </c>
      <c r="Q8" s="117" t="s">
        <v>40</v>
      </c>
      <c r="R8" s="117" t="s">
        <v>41</v>
      </c>
      <c r="S8" s="117" t="s">
        <v>31</v>
      </c>
      <c r="T8" s="170" t="s">
        <v>69</v>
      </c>
      <c r="U8" s="170" t="s">
        <v>70</v>
      </c>
      <c r="V8" s="170" t="s">
        <v>71</v>
      </c>
      <c r="W8" s="170" t="s">
        <v>72</v>
      </c>
      <c r="X8" s="170" t="s">
        <v>73</v>
      </c>
      <c r="Y8" s="170" t="s">
        <v>74</v>
      </c>
      <c r="Z8" s="160"/>
    </row>
    <row r="9" spans="1:26" ht="36" customHeight="1" x14ac:dyDescent="0.25">
      <c r="A9" s="139"/>
      <c r="B9" s="139"/>
      <c r="C9" s="171" t="s">
        <v>23</v>
      </c>
      <c r="D9" s="171" t="s">
        <v>24</v>
      </c>
      <c r="E9" s="52" t="s">
        <v>20</v>
      </c>
      <c r="F9" s="52" t="s">
        <v>21</v>
      </c>
      <c r="G9" s="52" t="s">
        <v>297</v>
      </c>
      <c r="H9" s="52" t="s">
        <v>463</v>
      </c>
      <c r="I9" s="106"/>
      <c r="J9" s="106"/>
      <c r="K9" s="106"/>
      <c r="L9" s="106"/>
      <c r="M9" s="176"/>
      <c r="N9" s="132"/>
      <c r="O9" s="132"/>
      <c r="P9" s="117"/>
      <c r="Q9" s="117"/>
      <c r="R9" s="117"/>
      <c r="S9" s="117"/>
      <c r="T9" s="170"/>
      <c r="U9" s="170"/>
      <c r="V9" s="170"/>
      <c r="W9" s="170"/>
      <c r="X9" s="170"/>
      <c r="Y9" s="170"/>
      <c r="Z9" s="160"/>
    </row>
    <row r="10" spans="1:26" s="22" customFormat="1" ht="35.15" customHeight="1" x14ac:dyDescent="0.25">
      <c r="A10" s="26">
        <v>1</v>
      </c>
      <c r="B10" s="20" t="s">
        <v>75</v>
      </c>
      <c r="C10" s="21">
        <f>+'ACTIVIDAD '!E14</f>
        <v>0</v>
      </c>
      <c r="D10" s="21">
        <f>+'ACTIVIDAD '!F14</f>
        <v>12</v>
      </c>
      <c r="E10" s="21">
        <f>+'ACTIVIDAD '!G14</f>
        <v>8</v>
      </c>
      <c r="F10" s="21">
        <f>+'ACTIVIDAD '!H14</f>
        <v>4</v>
      </c>
      <c r="G10" s="21">
        <f>+'ACTIVIDAD '!I14</f>
        <v>0</v>
      </c>
      <c r="H10" s="21">
        <f>+'ACTIVIDAD '!J14</f>
        <v>0</v>
      </c>
      <c r="I10" s="21">
        <f>+'ACTIVIDAD '!K14</f>
        <v>0</v>
      </c>
      <c r="J10" s="21">
        <f>+'ACTIVIDAD '!L14</f>
        <v>12</v>
      </c>
      <c r="K10" s="21">
        <f>+'ACTIVIDAD '!M14</f>
        <v>0</v>
      </c>
      <c r="L10" s="21">
        <f>+'ACTIVIDAD '!N14</f>
        <v>0</v>
      </c>
      <c r="M10" s="21">
        <f>+'ACTIVIDAD '!O14</f>
        <v>0</v>
      </c>
      <c r="N10" s="21">
        <f>+'ACTIVIDAD '!P14</f>
        <v>0</v>
      </c>
      <c r="O10" s="21">
        <f>+'ACTIVIDAD '!Q14</f>
        <v>0</v>
      </c>
      <c r="P10" s="21">
        <f>+'ACTIVIDAD '!R14</f>
        <v>0</v>
      </c>
      <c r="Q10" s="21">
        <f>+'ACTIVIDAD '!S14</f>
        <v>0</v>
      </c>
      <c r="R10" s="21">
        <f>+'ACTIVIDAD '!T14</f>
        <v>0</v>
      </c>
      <c r="S10" s="21">
        <f>+'ACTIVIDAD '!U14</f>
        <v>0</v>
      </c>
      <c r="T10" s="21">
        <f>+'ACTIVIDAD '!V14</f>
        <v>3</v>
      </c>
      <c r="U10" s="21">
        <f>+'ACTIVIDAD '!W14</f>
        <v>5</v>
      </c>
      <c r="V10" s="21">
        <f>+'ACTIVIDAD '!X14</f>
        <v>2</v>
      </c>
      <c r="W10" s="21">
        <f>+'ACTIVIDAD '!Y14</f>
        <v>2</v>
      </c>
      <c r="X10" s="21">
        <f>+'ACTIVIDAD '!Z14</f>
        <v>0</v>
      </c>
      <c r="Y10" s="21">
        <f>+'ACTIVIDAD '!AA14</f>
        <v>0</v>
      </c>
      <c r="Z10" s="184">
        <f>SUM(C10:Y10)</f>
        <v>48</v>
      </c>
    </row>
    <row r="11" spans="1:26" ht="35.15" customHeight="1" x14ac:dyDescent="0.25">
      <c r="A11" s="26">
        <v>2</v>
      </c>
      <c r="B11" s="20" t="s">
        <v>77</v>
      </c>
      <c r="C11" s="21">
        <f>+'ACTIVIDAD '!E19</f>
        <v>5</v>
      </c>
      <c r="D11" s="21">
        <f>+'ACTIVIDAD '!F19</f>
        <v>5</v>
      </c>
      <c r="E11" s="21">
        <f>+'ACTIVIDAD '!G19</f>
        <v>5</v>
      </c>
      <c r="F11" s="21">
        <f>+'ACTIVIDAD '!H19</f>
        <v>5</v>
      </c>
      <c r="G11" s="21">
        <f>+'ACTIVIDAD '!I19</f>
        <v>0</v>
      </c>
      <c r="H11" s="21">
        <f>+'ACTIVIDAD '!J19</f>
        <v>0</v>
      </c>
      <c r="I11" s="21">
        <f>+'ACTIVIDAD '!K19</f>
        <v>5</v>
      </c>
      <c r="J11" s="21">
        <f>+'ACTIVIDAD '!L19</f>
        <v>0</v>
      </c>
      <c r="K11" s="21">
        <f>+'ACTIVIDAD '!M19</f>
        <v>0</v>
      </c>
      <c r="L11" s="21">
        <f>+'ACTIVIDAD '!N19</f>
        <v>0</v>
      </c>
      <c r="M11" s="21">
        <f>+'ACTIVIDAD '!O19</f>
        <v>0</v>
      </c>
      <c r="N11" s="21">
        <f>+'ACTIVIDAD '!P19</f>
        <v>0</v>
      </c>
      <c r="O11" s="21">
        <f>+'ACTIVIDAD '!Q19</f>
        <v>0</v>
      </c>
      <c r="P11" s="21">
        <f>+'ACTIVIDAD '!R19</f>
        <v>0</v>
      </c>
      <c r="Q11" s="21">
        <f>+'ACTIVIDAD '!S19</f>
        <v>0</v>
      </c>
      <c r="R11" s="21">
        <f>+'ACTIVIDAD '!T19</f>
        <v>0</v>
      </c>
      <c r="S11" s="21">
        <f>+'ACTIVIDAD '!U19</f>
        <v>0</v>
      </c>
      <c r="T11" s="21">
        <f>+'ACTIVIDAD '!V19</f>
        <v>0</v>
      </c>
      <c r="U11" s="21">
        <f>+'ACTIVIDAD '!W19</f>
        <v>0</v>
      </c>
      <c r="V11" s="21">
        <f>+'ACTIVIDAD '!X19</f>
        <v>0</v>
      </c>
      <c r="W11" s="21">
        <f>+'ACTIVIDAD '!Y19</f>
        <v>0</v>
      </c>
      <c r="X11" s="21">
        <f>+'ACTIVIDAD '!Z19</f>
        <v>0</v>
      </c>
      <c r="Y11" s="21">
        <f>+'ACTIVIDAD '!AA19</f>
        <v>0</v>
      </c>
      <c r="Z11" s="184">
        <f t="shared" ref="Z11:Z28" si="0">SUM(C11:Y11)</f>
        <v>25</v>
      </c>
    </row>
    <row r="12" spans="1:26" ht="35.15" customHeight="1" x14ac:dyDescent="0.25">
      <c r="A12" s="26">
        <v>3</v>
      </c>
      <c r="B12" s="20" t="s">
        <v>79</v>
      </c>
      <c r="C12" s="21">
        <f>+'ACTIVIDAD '!E24</f>
        <v>0</v>
      </c>
      <c r="D12" s="21">
        <f>+'ACTIVIDAD '!F24</f>
        <v>0</v>
      </c>
      <c r="E12" s="21">
        <f>+'ACTIVIDAD '!G24</f>
        <v>0</v>
      </c>
      <c r="F12" s="21">
        <f>+'ACTIVIDAD '!H24</f>
        <v>0</v>
      </c>
      <c r="G12" s="21">
        <f>+'ACTIVIDAD '!I24</f>
        <v>0</v>
      </c>
      <c r="H12" s="21">
        <f>+'ACTIVIDAD '!J24</f>
        <v>0</v>
      </c>
      <c r="I12" s="21">
        <f>+'ACTIVIDAD '!K24</f>
        <v>0</v>
      </c>
      <c r="J12" s="21">
        <f>+'ACTIVIDAD '!L24</f>
        <v>0</v>
      </c>
      <c r="K12" s="21">
        <f>+'ACTIVIDAD '!M24</f>
        <v>0</v>
      </c>
      <c r="L12" s="21">
        <f>+'ACTIVIDAD '!N24</f>
        <v>0</v>
      </c>
      <c r="M12" s="21">
        <f>+'ACTIVIDAD '!O24</f>
        <v>0</v>
      </c>
      <c r="N12" s="21">
        <f>+'ACTIVIDAD '!P24</f>
        <v>0</v>
      </c>
      <c r="O12" s="21">
        <f>+'ACTIVIDAD '!Q24</f>
        <v>0</v>
      </c>
      <c r="P12" s="21">
        <f>+'ACTIVIDAD '!R24</f>
        <v>0</v>
      </c>
      <c r="Q12" s="21">
        <f>+'ACTIVIDAD '!S24</f>
        <v>0</v>
      </c>
      <c r="R12" s="21">
        <f>+'ACTIVIDAD '!T24</f>
        <v>0</v>
      </c>
      <c r="S12" s="21">
        <f>+'ACTIVIDAD '!U24</f>
        <v>0</v>
      </c>
      <c r="T12" s="21">
        <f>+'ACTIVIDAD '!V24</f>
        <v>0</v>
      </c>
      <c r="U12" s="21">
        <f>+'ACTIVIDAD '!W24</f>
        <v>0</v>
      </c>
      <c r="V12" s="21">
        <f>+'ACTIVIDAD '!X24</f>
        <v>0</v>
      </c>
      <c r="W12" s="21">
        <f>+'ACTIVIDAD '!Y24</f>
        <v>0</v>
      </c>
      <c r="X12" s="21">
        <f>+'ACTIVIDAD '!Z24</f>
        <v>5</v>
      </c>
      <c r="Y12" s="21">
        <f>+'ACTIVIDAD '!AA24</f>
        <v>0</v>
      </c>
      <c r="Z12" s="184">
        <f t="shared" si="0"/>
        <v>5</v>
      </c>
    </row>
    <row r="13" spans="1:26" ht="35.15" customHeight="1" x14ac:dyDescent="0.25">
      <c r="A13" s="26">
        <v>4</v>
      </c>
      <c r="B13" s="20" t="s">
        <v>81</v>
      </c>
      <c r="C13" s="21">
        <f>+'ACTIVIDAD '!E29</f>
        <v>0</v>
      </c>
      <c r="D13" s="21">
        <f>+'ACTIVIDAD '!F29</f>
        <v>0</v>
      </c>
      <c r="E13" s="21">
        <f>+'ACTIVIDAD '!G29</f>
        <v>0</v>
      </c>
      <c r="F13" s="21">
        <f>+'ACTIVIDAD '!H29</f>
        <v>0</v>
      </c>
      <c r="G13" s="21">
        <f>+'ACTIVIDAD '!I29</f>
        <v>0</v>
      </c>
      <c r="H13" s="21">
        <f>+'ACTIVIDAD '!J29</f>
        <v>0</v>
      </c>
      <c r="I13" s="21">
        <f>+'ACTIVIDAD '!K29</f>
        <v>0</v>
      </c>
      <c r="J13" s="21">
        <f>+'ACTIVIDAD '!L29</f>
        <v>0</v>
      </c>
      <c r="K13" s="21">
        <f>+'ACTIVIDAD '!M29</f>
        <v>0</v>
      </c>
      <c r="L13" s="21">
        <f>+'ACTIVIDAD '!N29</f>
        <v>0</v>
      </c>
      <c r="M13" s="21">
        <f>+'ACTIVIDAD '!O29</f>
        <v>0</v>
      </c>
      <c r="N13" s="21">
        <f>+'ACTIVIDAD '!P29</f>
        <v>0</v>
      </c>
      <c r="O13" s="21">
        <f>+'ACTIVIDAD '!Q29</f>
        <v>0</v>
      </c>
      <c r="P13" s="21">
        <f>+'ACTIVIDAD '!R29</f>
        <v>0</v>
      </c>
      <c r="Q13" s="21">
        <f>+'ACTIVIDAD '!S29</f>
        <v>0</v>
      </c>
      <c r="R13" s="21">
        <f>+'ACTIVIDAD '!T29</f>
        <v>0</v>
      </c>
      <c r="S13" s="21">
        <f>+'ACTIVIDAD '!U29</f>
        <v>0</v>
      </c>
      <c r="T13" s="21">
        <f>+'ACTIVIDAD '!V29</f>
        <v>0</v>
      </c>
      <c r="U13" s="21">
        <f>+'ACTIVIDAD '!W29</f>
        <v>0</v>
      </c>
      <c r="V13" s="21">
        <f>+'ACTIVIDAD '!X29</f>
        <v>0</v>
      </c>
      <c r="W13" s="21">
        <f>+'ACTIVIDAD '!Y29</f>
        <v>0</v>
      </c>
      <c r="X13" s="21">
        <f>+'ACTIVIDAD '!Z29</f>
        <v>0</v>
      </c>
      <c r="Y13" s="21">
        <f>+'ACTIVIDAD '!AA29</f>
        <v>0</v>
      </c>
      <c r="Z13" s="184">
        <f t="shared" si="0"/>
        <v>0</v>
      </c>
    </row>
    <row r="14" spans="1:26" ht="35.15" customHeight="1" x14ac:dyDescent="0.25">
      <c r="A14" s="26">
        <v>5</v>
      </c>
      <c r="B14" s="20" t="s">
        <v>119</v>
      </c>
      <c r="C14" s="21">
        <f>+'ACTIVIDAD '!E34</f>
        <v>5</v>
      </c>
      <c r="D14" s="21">
        <f>+'ACTIVIDAD '!F34</f>
        <v>0</v>
      </c>
      <c r="E14" s="21">
        <f>+'ACTIVIDAD '!G34</f>
        <v>0</v>
      </c>
      <c r="F14" s="21">
        <f>+'ACTIVIDAD '!H34</f>
        <v>0</v>
      </c>
      <c r="G14" s="21">
        <f>+'ACTIVIDAD '!I34</f>
        <v>0</v>
      </c>
      <c r="H14" s="21">
        <f>+'ACTIVIDAD '!J34</f>
        <v>0</v>
      </c>
      <c r="I14" s="21">
        <f>+'ACTIVIDAD '!K34</f>
        <v>0</v>
      </c>
      <c r="J14" s="21">
        <f>+'ACTIVIDAD '!L34</f>
        <v>0</v>
      </c>
      <c r="K14" s="21">
        <f>+'ACTIVIDAD '!M34</f>
        <v>0</v>
      </c>
      <c r="L14" s="21">
        <f>+'ACTIVIDAD '!N34</f>
        <v>0</v>
      </c>
      <c r="M14" s="21">
        <f>+'ACTIVIDAD '!O34</f>
        <v>0</v>
      </c>
      <c r="N14" s="21">
        <f>+'ACTIVIDAD '!P34</f>
        <v>0</v>
      </c>
      <c r="O14" s="21">
        <f>+'ACTIVIDAD '!Q34</f>
        <v>0</v>
      </c>
      <c r="P14" s="21">
        <f>+'ACTIVIDAD '!R34</f>
        <v>0</v>
      </c>
      <c r="Q14" s="21">
        <f>+'ACTIVIDAD '!S34</f>
        <v>0</v>
      </c>
      <c r="R14" s="21">
        <f>+'ACTIVIDAD '!T34</f>
        <v>0</v>
      </c>
      <c r="S14" s="21">
        <f>+'ACTIVIDAD '!U34</f>
        <v>0</v>
      </c>
      <c r="T14" s="21">
        <f>+'ACTIVIDAD '!V34</f>
        <v>0</v>
      </c>
      <c r="U14" s="21">
        <f>+'ACTIVIDAD '!W34</f>
        <v>0</v>
      </c>
      <c r="V14" s="21">
        <f>+'ACTIVIDAD '!X34</f>
        <v>0</v>
      </c>
      <c r="W14" s="21">
        <f>+'ACTIVIDAD '!Y34</f>
        <v>0</v>
      </c>
      <c r="X14" s="21">
        <f>+'ACTIVIDAD '!Z34</f>
        <v>0</v>
      </c>
      <c r="Y14" s="21">
        <f>+'ACTIVIDAD '!AA34</f>
        <v>3</v>
      </c>
      <c r="Z14" s="184">
        <f t="shared" si="0"/>
        <v>8</v>
      </c>
    </row>
    <row r="15" spans="1:26" ht="35.15" customHeight="1" x14ac:dyDescent="0.25">
      <c r="A15" s="26">
        <v>6</v>
      </c>
      <c r="B15" s="20" t="s">
        <v>84</v>
      </c>
      <c r="C15" s="21">
        <f>+'ACTIVIDAD '!E39</f>
        <v>0</v>
      </c>
      <c r="D15" s="21">
        <f>+'ACTIVIDAD '!F39</f>
        <v>0</v>
      </c>
      <c r="E15" s="21">
        <f>+'ACTIVIDAD '!G39</f>
        <v>0</v>
      </c>
      <c r="F15" s="21">
        <f>+'ACTIVIDAD '!H39</f>
        <v>0</v>
      </c>
      <c r="G15" s="21">
        <f>+'ACTIVIDAD '!I39</f>
        <v>0</v>
      </c>
      <c r="H15" s="21">
        <f>+'ACTIVIDAD '!J39</f>
        <v>0</v>
      </c>
      <c r="I15" s="21">
        <f>+'ACTIVIDAD '!K39</f>
        <v>0</v>
      </c>
      <c r="J15" s="21">
        <f>+'ACTIVIDAD '!L39</f>
        <v>0</v>
      </c>
      <c r="K15" s="21">
        <f>+'ACTIVIDAD '!M39</f>
        <v>0</v>
      </c>
      <c r="L15" s="21">
        <f>+'ACTIVIDAD '!N39</f>
        <v>0</v>
      </c>
      <c r="M15" s="21">
        <f>+'ACTIVIDAD '!O39</f>
        <v>0</v>
      </c>
      <c r="N15" s="21">
        <f>+'ACTIVIDAD '!P39</f>
        <v>0</v>
      </c>
      <c r="O15" s="21">
        <f>+'ACTIVIDAD '!Q39</f>
        <v>0</v>
      </c>
      <c r="P15" s="21">
        <f>+'ACTIVIDAD '!R39</f>
        <v>0</v>
      </c>
      <c r="Q15" s="21">
        <f>+'ACTIVIDAD '!S39</f>
        <v>0</v>
      </c>
      <c r="R15" s="21">
        <f>+'ACTIVIDAD '!T39</f>
        <v>0</v>
      </c>
      <c r="S15" s="21">
        <f>+'ACTIVIDAD '!U39</f>
        <v>0</v>
      </c>
      <c r="T15" s="21">
        <f>+'ACTIVIDAD '!V39</f>
        <v>0</v>
      </c>
      <c r="U15" s="21">
        <f>+'ACTIVIDAD '!W39</f>
        <v>5</v>
      </c>
      <c r="V15" s="21">
        <f>+'ACTIVIDAD '!X39</f>
        <v>0</v>
      </c>
      <c r="W15" s="21">
        <f>+'ACTIVIDAD '!Y39</f>
        <v>0</v>
      </c>
      <c r="X15" s="21">
        <f>+'ACTIVIDAD '!Z39</f>
        <v>0</v>
      </c>
      <c r="Y15" s="21">
        <f>+'ACTIVIDAD '!AA39</f>
        <v>0</v>
      </c>
      <c r="Z15" s="184">
        <f t="shared" si="0"/>
        <v>5</v>
      </c>
    </row>
    <row r="16" spans="1:26" ht="35.15" customHeight="1" x14ac:dyDescent="0.25">
      <c r="A16" s="26">
        <v>7</v>
      </c>
      <c r="B16" s="20" t="s">
        <v>86</v>
      </c>
      <c r="C16" s="21">
        <f>+'ACTIVIDAD '!E44</f>
        <v>0</v>
      </c>
      <c r="D16" s="21">
        <f>+'ACTIVIDAD '!F44</f>
        <v>0</v>
      </c>
      <c r="E16" s="21">
        <f>+'ACTIVIDAD '!G44</f>
        <v>0</v>
      </c>
      <c r="F16" s="21">
        <f>+'ACTIVIDAD '!H44</f>
        <v>0</v>
      </c>
      <c r="G16" s="21">
        <f>+'ACTIVIDAD '!I44</f>
        <v>0</v>
      </c>
      <c r="H16" s="21">
        <f>+'ACTIVIDAD '!J44</f>
        <v>0</v>
      </c>
      <c r="I16" s="21">
        <f>+'ACTIVIDAD '!K44</f>
        <v>0</v>
      </c>
      <c r="J16" s="21">
        <f>+'ACTIVIDAD '!L44</f>
        <v>0</v>
      </c>
      <c r="K16" s="21">
        <f>+'ACTIVIDAD '!M44</f>
        <v>0</v>
      </c>
      <c r="L16" s="21">
        <f>+'ACTIVIDAD '!N44</f>
        <v>0</v>
      </c>
      <c r="M16" s="21">
        <f>+'ACTIVIDAD '!O44</f>
        <v>0</v>
      </c>
      <c r="N16" s="21">
        <f>+'ACTIVIDAD '!P44</f>
        <v>0</v>
      </c>
      <c r="O16" s="21">
        <f>+'ACTIVIDAD '!Q44</f>
        <v>0</v>
      </c>
      <c r="P16" s="21">
        <f>+'ACTIVIDAD '!R44</f>
        <v>0</v>
      </c>
      <c r="Q16" s="21">
        <f>+'ACTIVIDAD '!S44</f>
        <v>0</v>
      </c>
      <c r="R16" s="21">
        <f>+'ACTIVIDAD '!T44</f>
        <v>0</v>
      </c>
      <c r="S16" s="21">
        <f>+'ACTIVIDAD '!U44</f>
        <v>0</v>
      </c>
      <c r="T16" s="21">
        <f>+'ACTIVIDAD '!V44</f>
        <v>0</v>
      </c>
      <c r="U16" s="21">
        <f>+'ACTIVIDAD '!W44</f>
        <v>5</v>
      </c>
      <c r="V16" s="21">
        <f>+'ACTIVIDAD '!X44</f>
        <v>0</v>
      </c>
      <c r="W16" s="21">
        <f>+'ACTIVIDAD '!Y44</f>
        <v>0</v>
      </c>
      <c r="X16" s="21">
        <f>+'ACTIVIDAD '!Z44</f>
        <v>0</v>
      </c>
      <c r="Y16" s="21">
        <f>+'ACTIVIDAD '!AA44</f>
        <v>0</v>
      </c>
      <c r="Z16" s="184">
        <f t="shared" si="0"/>
        <v>5</v>
      </c>
    </row>
    <row r="17" spans="1:42" ht="35.15" customHeight="1" x14ac:dyDescent="0.25">
      <c r="A17" s="26">
        <v>8</v>
      </c>
      <c r="B17" s="20" t="s">
        <v>88</v>
      </c>
      <c r="C17" s="21">
        <f>+'ACTIVIDAD '!E49</f>
        <v>0</v>
      </c>
      <c r="D17" s="21">
        <f>+'ACTIVIDAD '!F49</f>
        <v>0</v>
      </c>
      <c r="E17" s="21">
        <f>+'ACTIVIDAD '!G49</f>
        <v>0</v>
      </c>
      <c r="F17" s="21">
        <f>+'ACTIVIDAD '!H49</f>
        <v>0</v>
      </c>
      <c r="G17" s="21">
        <f>+'ACTIVIDAD '!I49</f>
        <v>0</v>
      </c>
      <c r="H17" s="21">
        <f>+'ACTIVIDAD '!J49</f>
        <v>0</v>
      </c>
      <c r="I17" s="21">
        <f>+'ACTIVIDAD '!K49</f>
        <v>0</v>
      </c>
      <c r="J17" s="21">
        <f>+'ACTIVIDAD '!L49</f>
        <v>0</v>
      </c>
      <c r="K17" s="21">
        <f>+'ACTIVIDAD '!M49</f>
        <v>0</v>
      </c>
      <c r="L17" s="21">
        <f>+'ACTIVIDAD '!N49</f>
        <v>0</v>
      </c>
      <c r="M17" s="21">
        <f>+'ACTIVIDAD '!O49</f>
        <v>0</v>
      </c>
      <c r="N17" s="21">
        <f>+'ACTIVIDAD '!P49</f>
        <v>0</v>
      </c>
      <c r="O17" s="21">
        <f>+'ACTIVIDAD '!Q49</f>
        <v>0</v>
      </c>
      <c r="P17" s="21">
        <f>+'ACTIVIDAD '!R49</f>
        <v>0</v>
      </c>
      <c r="Q17" s="21">
        <f>+'ACTIVIDAD '!S49</f>
        <v>0</v>
      </c>
      <c r="R17" s="21">
        <f>+'ACTIVIDAD '!T49</f>
        <v>0</v>
      </c>
      <c r="S17" s="21">
        <f>+'ACTIVIDAD '!U49</f>
        <v>0</v>
      </c>
      <c r="T17" s="21">
        <f>+'ACTIVIDAD '!V49</f>
        <v>0</v>
      </c>
      <c r="U17" s="21">
        <f>+'ACTIVIDAD '!W49</f>
        <v>0</v>
      </c>
      <c r="V17" s="21">
        <f>+'ACTIVIDAD '!X49</f>
        <v>0</v>
      </c>
      <c r="W17" s="21">
        <f>+'ACTIVIDAD '!Y49</f>
        <v>5</v>
      </c>
      <c r="X17" s="21">
        <f>+'ACTIVIDAD '!Z49</f>
        <v>0</v>
      </c>
      <c r="Y17" s="21">
        <f>+'ACTIVIDAD '!AA49</f>
        <v>0</v>
      </c>
      <c r="Z17" s="184">
        <f t="shared" si="0"/>
        <v>5</v>
      </c>
    </row>
    <row r="18" spans="1:42" ht="35.15" customHeight="1" x14ac:dyDescent="0.25">
      <c r="A18" s="26">
        <v>9</v>
      </c>
      <c r="B18" s="20" t="s">
        <v>90</v>
      </c>
      <c r="C18" s="21">
        <f>+'ACTIVIDAD '!E54</f>
        <v>0</v>
      </c>
      <c r="D18" s="21">
        <f>+'ACTIVIDAD '!F54</f>
        <v>0</v>
      </c>
      <c r="E18" s="21">
        <f>+'ACTIVIDAD '!G54</f>
        <v>0</v>
      </c>
      <c r="F18" s="21">
        <f>+'ACTIVIDAD '!H54</f>
        <v>0</v>
      </c>
      <c r="G18" s="21">
        <f>+'ACTIVIDAD '!I54</f>
        <v>0</v>
      </c>
      <c r="H18" s="21">
        <f>+'ACTIVIDAD '!J54</f>
        <v>0</v>
      </c>
      <c r="I18" s="21">
        <f>+'ACTIVIDAD '!K54</f>
        <v>0</v>
      </c>
      <c r="J18" s="21">
        <f>+'ACTIVIDAD '!L54</f>
        <v>0</v>
      </c>
      <c r="K18" s="21">
        <f>+'ACTIVIDAD '!M54</f>
        <v>0</v>
      </c>
      <c r="L18" s="21">
        <f>+'ACTIVIDAD '!N54</f>
        <v>0</v>
      </c>
      <c r="M18" s="21">
        <f>+'ACTIVIDAD '!O54</f>
        <v>0</v>
      </c>
      <c r="N18" s="21">
        <f>+'ACTIVIDAD '!P54</f>
        <v>0</v>
      </c>
      <c r="O18" s="21">
        <f>+'ACTIVIDAD '!Q54</f>
        <v>0</v>
      </c>
      <c r="P18" s="21">
        <f>+'ACTIVIDAD '!R54</f>
        <v>0</v>
      </c>
      <c r="Q18" s="21">
        <f>+'ACTIVIDAD '!S54</f>
        <v>0</v>
      </c>
      <c r="R18" s="21">
        <f>+'ACTIVIDAD '!T54</f>
        <v>0</v>
      </c>
      <c r="S18" s="21">
        <f>+'ACTIVIDAD '!U54</f>
        <v>0</v>
      </c>
      <c r="T18" s="21">
        <f>+'ACTIVIDAD '!V54</f>
        <v>0</v>
      </c>
      <c r="U18" s="21">
        <f>+'ACTIVIDAD '!W54</f>
        <v>0</v>
      </c>
      <c r="V18" s="21">
        <f>+'ACTIVIDAD '!X54</f>
        <v>0</v>
      </c>
      <c r="W18" s="21">
        <f>+'ACTIVIDAD '!Y54</f>
        <v>0</v>
      </c>
      <c r="X18" s="21">
        <f>+'ACTIVIDAD '!Z54</f>
        <v>0</v>
      </c>
      <c r="Y18" s="21">
        <f>+'ACTIVIDAD '!AA54</f>
        <v>0</v>
      </c>
      <c r="Z18" s="184">
        <f t="shared" si="0"/>
        <v>0</v>
      </c>
    </row>
    <row r="19" spans="1:42" ht="35.15" customHeight="1" x14ac:dyDescent="0.25">
      <c r="A19" s="26">
        <v>10</v>
      </c>
      <c r="B19" s="20" t="s">
        <v>92</v>
      </c>
      <c r="C19" s="21">
        <f>+'ACTIVIDAD '!E59</f>
        <v>0</v>
      </c>
      <c r="D19" s="21">
        <f>+'ACTIVIDAD '!F59</f>
        <v>0</v>
      </c>
      <c r="E19" s="21">
        <f>+'ACTIVIDAD '!G59</f>
        <v>0</v>
      </c>
      <c r="F19" s="21">
        <f>+'ACTIVIDAD '!H59</f>
        <v>0</v>
      </c>
      <c r="G19" s="21">
        <f>+'ACTIVIDAD '!I59</f>
        <v>0</v>
      </c>
      <c r="H19" s="21">
        <f>+'ACTIVIDAD '!J59</f>
        <v>0</v>
      </c>
      <c r="I19" s="21">
        <f>+'ACTIVIDAD '!K59</f>
        <v>0</v>
      </c>
      <c r="J19" s="21">
        <f>+'ACTIVIDAD '!L59</f>
        <v>0</v>
      </c>
      <c r="K19" s="21">
        <f>+'ACTIVIDAD '!M59</f>
        <v>0</v>
      </c>
      <c r="L19" s="21">
        <f>+'ACTIVIDAD '!N59</f>
        <v>0</v>
      </c>
      <c r="M19" s="21">
        <f>+'ACTIVIDAD '!O59</f>
        <v>0</v>
      </c>
      <c r="N19" s="21">
        <f>+'ACTIVIDAD '!P59</f>
        <v>0</v>
      </c>
      <c r="O19" s="21">
        <f>+'ACTIVIDAD '!Q59</f>
        <v>0</v>
      </c>
      <c r="P19" s="21">
        <f>+'ACTIVIDAD '!R59</f>
        <v>0</v>
      </c>
      <c r="Q19" s="21">
        <f>+'ACTIVIDAD '!S59</f>
        <v>0</v>
      </c>
      <c r="R19" s="21">
        <f>+'ACTIVIDAD '!T59</f>
        <v>0</v>
      </c>
      <c r="S19" s="21">
        <f>+'ACTIVIDAD '!U59</f>
        <v>0</v>
      </c>
      <c r="T19" s="21">
        <f>+'ACTIVIDAD '!V59</f>
        <v>0</v>
      </c>
      <c r="U19" s="21">
        <f>+'ACTIVIDAD '!W59</f>
        <v>0</v>
      </c>
      <c r="V19" s="21">
        <f>+'ACTIVIDAD '!X59</f>
        <v>0</v>
      </c>
      <c r="W19" s="21">
        <f>+'ACTIVIDAD '!Y59</f>
        <v>0</v>
      </c>
      <c r="X19" s="21">
        <f>+'ACTIVIDAD '!Z59</f>
        <v>0</v>
      </c>
      <c r="Y19" s="21">
        <f>+'ACTIVIDAD '!AA59</f>
        <v>0</v>
      </c>
      <c r="Z19" s="184">
        <f t="shared" si="0"/>
        <v>0</v>
      </c>
    </row>
    <row r="20" spans="1:42" ht="35.15" customHeight="1" x14ac:dyDescent="0.25">
      <c r="A20" s="26">
        <v>11</v>
      </c>
      <c r="B20" s="20" t="s">
        <v>94</v>
      </c>
      <c r="C20" s="21">
        <f>+'ACTIVIDAD '!E64</f>
        <v>0</v>
      </c>
      <c r="D20" s="21">
        <f>+'ACTIVIDAD '!F64</f>
        <v>0</v>
      </c>
      <c r="E20" s="21">
        <f>+'ACTIVIDAD '!G64</f>
        <v>0</v>
      </c>
      <c r="F20" s="21">
        <f>+'ACTIVIDAD '!H64</f>
        <v>0</v>
      </c>
      <c r="G20" s="21">
        <f>+'ACTIVIDAD '!I64</f>
        <v>0</v>
      </c>
      <c r="H20" s="21">
        <f>+'ACTIVIDAD '!J64</f>
        <v>0</v>
      </c>
      <c r="I20" s="21">
        <f>+'ACTIVIDAD '!K64</f>
        <v>0</v>
      </c>
      <c r="J20" s="21">
        <f>+'ACTIVIDAD '!L64</f>
        <v>0</v>
      </c>
      <c r="K20" s="21">
        <f>+'ACTIVIDAD '!M64</f>
        <v>0</v>
      </c>
      <c r="L20" s="21">
        <f>+'ACTIVIDAD '!N64</f>
        <v>0</v>
      </c>
      <c r="M20" s="21">
        <f>+'ACTIVIDAD '!O64</f>
        <v>0</v>
      </c>
      <c r="N20" s="21">
        <f>+'ACTIVIDAD '!P64</f>
        <v>0</v>
      </c>
      <c r="O20" s="21">
        <f>+'ACTIVIDAD '!Q64</f>
        <v>0</v>
      </c>
      <c r="P20" s="21">
        <f>+'ACTIVIDAD '!R64</f>
        <v>0</v>
      </c>
      <c r="Q20" s="21">
        <f>+'ACTIVIDAD '!S64</f>
        <v>0</v>
      </c>
      <c r="R20" s="21">
        <f>+'ACTIVIDAD '!T64</f>
        <v>0</v>
      </c>
      <c r="S20" s="21">
        <f>+'ACTIVIDAD '!U64</f>
        <v>0</v>
      </c>
      <c r="T20" s="21">
        <f>+'ACTIVIDAD '!V64</f>
        <v>0</v>
      </c>
      <c r="U20" s="21">
        <f>+'ACTIVIDAD '!W64</f>
        <v>0</v>
      </c>
      <c r="V20" s="21">
        <f>+'ACTIVIDAD '!X64</f>
        <v>0</v>
      </c>
      <c r="W20" s="21">
        <f>+'ACTIVIDAD '!Y64</f>
        <v>0</v>
      </c>
      <c r="X20" s="21">
        <f>+'ACTIVIDAD '!Z64</f>
        <v>0</v>
      </c>
      <c r="Y20" s="21">
        <f>+'ACTIVIDAD '!AA64</f>
        <v>0</v>
      </c>
      <c r="Z20" s="184">
        <f t="shared" si="0"/>
        <v>0</v>
      </c>
      <c r="AP20" s="39"/>
    </row>
    <row r="21" spans="1:42" ht="35.15" customHeight="1" x14ac:dyDescent="0.25">
      <c r="A21" s="26">
        <v>12</v>
      </c>
      <c r="B21" s="20" t="s">
        <v>118</v>
      </c>
      <c r="C21" s="21">
        <f>+'ACTIVIDAD '!E69</f>
        <v>0</v>
      </c>
      <c r="D21" s="21">
        <f>+'ACTIVIDAD '!F69</f>
        <v>0</v>
      </c>
      <c r="E21" s="21">
        <f>+'ACTIVIDAD '!G69</f>
        <v>0</v>
      </c>
      <c r="F21" s="21">
        <f>+'ACTIVIDAD '!H69</f>
        <v>0</v>
      </c>
      <c r="G21" s="21">
        <f>+'ACTIVIDAD '!I69</f>
        <v>0</v>
      </c>
      <c r="H21" s="21">
        <f>+'ACTIVIDAD '!J69</f>
        <v>0</v>
      </c>
      <c r="I21" s="21">
        <f>+'ACTIVIDAD '!K69</f>
        <v>0</v>
      </c>
      <c r="J21" s="21">
        <f>+'ACTIVIDAD '!L69</f>
        <v>0</v>
      </c>
      <c r="K21" s="21">
        <f>+'ACTIVIDAD '!M69</f>
        <v>0</v>
      </c>
      <c r="L21" s="21">
        <f>+'ACTIVIDAD '!N69</f>
        <v>0</v>
      </c>
      <c r="M21" s="21">
        <f>+'ACTIVIDAD '!O69</f>
        <v>0</v>
      </c>
      <c r="N21" s="21">
        <f>+'ACTIVIDAD '!P69</f>
        <v>0</v>
      </c>
      <c r="O21" s="21">
        <f>+'ACTIVIDAD '!Q69</f>
        <v>0</v>
      </c>
      <c r="P21" s="21">
        <f>+'ACTIVIDAD '!R69</f>
        <v>0</v>
      </c>
      <c r="Q21" s="21">
        <f>+'ACTIVIDAD '!S69</f>
        <v>0</v>
      </c>
      <c r="R21" s="21">
        <f>+'ACTIVIDAD '!T69</f>
        <v>0</v>
      </c>
      <c r="S21" s="21">
        <f>+'ACTIVIDAD '!U69</f>
        <v>0</v>
      </c>
      <c r="T21" s="21">
        <f>+'ACTIVIDAD '!V69</f>
        <v>0</v>
      </c>
      <c r="U21" s="21">
        <f>+'ACTIVIDAD '!W69</f>
        <v>0</v>
      </c>
      <c r="V21" s="21">
        <f>+'ACTIVIDAD '!X69</f>
        <v>0</v>
      </c>
      <c r="W21" s="21">
        <f>+'ACTIVIDAD '!Y69</f>
        <v>0</v>
      </c>
      <c r="X21" s="21">
        <f>+'ACTIVIDAD '!Z69</f>
        <v>0</v>
      </c>
      <c r="Y21" s="21">
        <f>+'ACTIVIDAD '!AA69</f>
        <v>0</v>
      </c>
      <c r="Z21" s="184">
        <f t="shared" si="0"/>
        <v>0</v>
      </c>
    </row>
    <row r="22" spans="1:42" ht="35.15" customHeight="1" x14ac:dyDescent="0.25">
      <c r="A22" s="26">
        <v>13</v>
      </c>
      <c r="B22" s="20" t="s">
        <v>97</v>
      </c>
      <c r="C22" s="21">
        <f>+'ACTIVIDAD '!E74</f>
        <v>0</v>
      </c>
      <c r="D22" s="21">
        <f>+'ACTIVIDAD '!F74</f>
        <v>0</v>
      </c>
      <c r="E22" s="21">
        <f>+'ACTIVIDAD '!G74</f>
        <v>0</v>
      </c>
      <c r="F22" s="21">
        <f>+'ACTIVIDAD '!H74</f>
        <v>0</v>
      </c>
      <c r="G22" s="21">
        <f>+'ACTIVIDAD '!I74</f>
        <v>0</v>
      </c>
      <c r="H22" s="21">
        <f>+'ACTIVIDAD '!J74</f>
        <v>0</v>
      </c>
      <c r="I22" s="21">
        <f>+'ACTIVIDAD '!K74</f>
        <v>0</v>
      </c>
      <c r="J22" s="21">
        <f>+'ACTIVIDAD '!L74</f>
        <v>0</v>
      </c>
      <c r="K22" s="21">
        <f>+'ACTIVIDAD '!M74</f>
        <v>0</v>
      </c>
      <c r="L22" s="21">
        <f>+'ACTIVIDAD '!N74</f>
        <v>0</v>
      </c>
      <c r="M22" s="21">
        <f>+'ACTIVIDAD '!O74</f>
        <v>0</v>
      </c>
      <c r="N22" s="21">
        <f>+'ACTIVIDAD '!P74</f>
        <v>0</v>
      </c>
      <c r="O22" s="21">
        <f>+'ACTIVIDAD '!Q74</f>
        <v>0</v>
      </c>
      <c r="P22" s="21">
        <f>+'ACTIVIDAD '!R74</f>
        <v>0</v>
      </c>
      <c r="Q22" s="21">
        <f>+'ACTIVIDAD '!S74</f>
        <v>0</v>
      </c>
      <c r="R22" s="21">
        <f>+'ACTIVIDAD '!T74</f>
        <v>0</v>
      </c>
      <c r="S22" s="21">
        <f>+'ACTIVIDAD '!U74</f>
        <v>0</v>
      </c>
      <c r="T22" s="21">
        <f>+'ACTIVIDAD '!V74</f>
        <v>0</v>
      </c>
      <c r="U22" s="21">
        <f>+'ACTIVIDAD '!W74</f>
        <v>0</v>
      </c>
      <c r="V22" s="21">
        <f>+'ACTIVIDAD '!X74</f>
        <v>0</v>
      </c>
      <c r="W22" s="21">
        <f>+'ACTIVIDAD '!Y74</f>
        <v>0</v>
      </c>
      <c r="X22" s="21">
        <f>+'ACTIVIDAD '!Z74</f>
        <v>0</v>
      </c>
      <c r="Y22" s="21">
        <f>+'ACTIVIDAD '!AA74</f>
        <v>0</v>
      </c>
      <c r="Z22" s="184">
        <f t="shared" si="0"/>
        <v>0</v>
      </c>
    </row>
    <row r="23" spans="1:42" ht="35.15" customHeight="1" x14ac:dyDescent="0.25">
      <c r="A23" s="26">
        <v>14</v>
      </c>
      <c r="B23" s="20" t="s">
        <v>99</v>
      </c>
      <c r="C23" s="21">
        <f>+'ACTIVIDAD '!E79</f>
        <v>0</v>
      </c>
      <c r="D23" s="21">
        <f>+'ACTIVIDAD '!F79</f>
        <v>0</v>
      </c>
      <c r="E23" s="21">
        <f>+'ACTIVIDAD '!G79</f>
        <v>0</v>
      </c>
      <c r="F23" s="21">
        <f>+'ACTIVIDAD '!H79</f>
        <v>0</v>
      </c>
      <c r="G23" s="21">
        <f>+'ACTIVIDAD '!I79</f>
        <v>0</v>
      </c>
      <c r="H23" s="21">
        <f>+'ACTIVIDAD '!J79</f>
        <v>0</v>
      </c>
      <c r="I23" s="21">
        <f>+'ACTIVIDAD '!K79</f>
        <v>0</v>
      </c>
      <c r="J23" s="21">
        <f>+'ACTIVIDAD '!L79</f>
        <v>0</v>
      </c>
      <c r="K23" s="21">
        <f>+'ACTIVIDAD '!M79</f>
        <v>0</v>
      </c>
      <c r="L23" s="21">
        <f>+'ACTIVIDAD '!N79</f>
        <v>0</v>
      </c>
      <c r="M23" s="21">
        <f>+'ACTIVIDAD '!O79</f>
        <v>0</v>
      </c>
      <c r="N23" s="21">
        <f>+'ACTIVIDAD '!P79</f>
        <v>0</v>
      </c>
      <c r="O23" s="21">
        <f>+'ACTIVIDAD '!Q79</f>
        <v>0</v>
      </c>
      <c r="P23" s="21">
        <f>+'ACTIVIDAD '!R79</f>
        <v>0</v>
      </c>
      <c r="Q23" s="21">
        <f>+'ACTIVIDAD '!S79</f>
        <v>0</v>
      </c>
      <c r="R23" s="21">
        <f>+'ACTIVIDAD '!T79</f>
        <v>0</v>
      </c>
      <c r="S23" s="21">
        <f>+'ACTIVIDAD '!U79</f>
        <v>0</v>
      </c>
      <c r="T23" s="21">
        <f>+'ACTIVIDAD '!V79</f>
        <v>0</v>
      </c>
      <c r="U23" s="21">
        <f>+'ACTIVIDAD '!W79</f>
        <v>0</v>
      </c>
      <c r="V23" s="21">
        <f>+'ACTIVIDAD '!X79</f>
        <v>0</v>
      </c>
      <c r="W23" s="21">
        <f>+'ACTIVIDAD '!Y79</f>
        <v>0</v>
      </c>
      <c r="X23" s="21">
        <f>+'ACTIVIDAD '!Z79</f>
        <v>0</v>
      </c>
      <c r="Y23" s="21">
        <f>+'ACTIVIDAD '!AA79</f>
        <v>0</v>
      </c>
      <c r="Z23" s="184">
        <f t="shared" si="0"/>
        <v>0</v>
      </c>
    </row>
    <row r="24" spans="1:42" ht="35.15" customHeight="1" x14ac:dyDescent="0.25">
      <c r="A24" s="26">
        <v>15</v>
      </c>
      <c r="B24" s="20" t="s">
        <v>101</v>
      </c>
      <c r="C24" s="21">
        <f>+'ACTIVIDAD '!E84</f>
        <v>3</v>
      </c>
      <c r="D24" s="21">
        <f>+'ACTIVIDAD '!F84</f>
        <v>7</v>
      </c>
      <c r="E24" s="21">
        <f>+'ACTIVIDAD '!G84</f>
        <v>8</v>
      </c>
      <c r="F24" s="21">
        <f>+'ACTIVIDAD '!H84</f>
        <v>0</v>
      </c>
      <c r="G24" s="21">
        <f>+'ACTIVIDAD '!I84</f>
        <v>0</v>
      </c>
      <c r="H24" s="21">
        <f>+'ACTIVIDAD '!J84</f>
        <v>0</v>
      </c>
      <c r="I24" s="21">
        <f>+'ACTIVIDAD '!K84</f>
        <v>0</v>
      </c>
      <c r="J24" s="21">
        <f>+'ACTIVIDAD '!L84</f>
        <v>0</v>
      </c>
      <c r="K24" s="21">
        <f>+'ACTIVIDAD '!M84</f>
        <v>0</v>
      </c>
      <c r="L24" s="21">
        <f>+'ACTIVIDAD '!N84</f>
        <v>0</v>
      </c>
      <c r="M24" s="21">
        <f>+'ACTIVIDAD '!O84</f>
        <v>0</v>
      </c>
      <c r="N24" s="21">
        <f>+'ACTIVIDAD '!P84</f>
        <v>0</v>
      </c>
      <c r="O24" s="21">
        <f>+'ACTIVIDAD '!Q84</f>
        <v>0</v>
      </c>
      <c r="P24" s="21">
        <f>+'ACTIVIDAD '!R84</f>
        <v>0</v>
      </c>
      <c r="Q24" s="21">
        <f>+'ACTIVIDAD '!S84</f>
        <v>0</v>
      </c>
      <c r="R24" s="21">
        <f>+'ACTIVIDAD '!T84</f>
        <v>0</v>
      </c>
      <c r="S24" s="21">
        <f>+'ACTIVIDAD '!U84</f>
        <v>0</v>
      </c>
      <c r="T24" s="21">
        <f>+'ACTIVIDAD '!V84</f>
        <v>0</v>
      </c>
      <c r="U24" s="21">
        <f>+'ACTIVIDAD '!W84</f>
        <v>0</v>
      </c>
      <c r="V24" s="21">
        <f>+'ACTIVIDAD '!X84</f>
        <v>0</v>
      </c>
      <c r="W24" s="21">
        <f>+'ACTIVIDAD '!Y84</f>
        <v>0</v>
      </c>
      <c r="X24" s="21">
        <f>+'ACTIVIDAD '!Z84</f>
        <v>0</v>
      </c>
      <c r="Y24" s="21">
        <f>+'ACTIVIDAD '!AA84</f>
        <v>0</v>
      </c>
      <c r="Z24" s="184">
        <f t="shared" si="0"/>
        <v>18</v>
      </c>
    </row>
    <row r="25" spans="1:42" ht="35.15" customHeight="1" x14ac:dyDescent="0.25">
      <c r="A25" s="26">
        <v>16</v>
      </c>
      <c r="B25" s="20" t="s">
        <v>103</v>
      </c>
      <c r="C25" s="21">
        <f>+'ACTIVIDAD '!E89</f>
        <v>0</v>
      </c>
      <c r="D25" s="21">
        <f>+'ACTIVIDAD '!F89</f>
        <v>0</v>
      </c>
      <c r="E25" s="21">
        <f>+'ACTIVIDAD '!G89</f>
        <v>0</v>
      </c>
      <c r="F25" s="21">
        <f>+'ACTIVIDAD '!H89</f>
        <v>0</v>
      </c>
      <c r="G25" s="21">
        <f>+'ACTIVIDAD '!I89</f>
        <v>0</v>
      </c>
      <c r="H25" s="21">
        <f>+'ACTIVIDAD '!J89</f>
        <v>0</v>
      </c>
      <c r="I25" s="21">
        <f>+'ACTIVIDAD '!K89</f>
        <v>0</v>
      </c>
      <c r="J25" s="21">
        <f>+'ACTIVIDAD '!L89</f>
        <v>0</v>
      </c>
      <c r="K25" s="21">
        <f>+'ACTIVIDAD '!M89</f>
        <v>0</v>
      </c>
      <c r="L25" s="21">
        <f>+'ACTIVIDAD '!N89</f>
        <v>0</v>
      </c>
      <c r="M25" s="21">
        <f>+'ACTIVIDAD '!O89</f>
        <v>0</v>
      </c>
      <c r="N25" s="21">
        <f>+'ACTIVIDAD '!P89</f>
        <v>0</v>
      </c>
      <c r="O25" s="21">
        <f>+'ACTIVIDAD '!Q89</f>
        <v>0</v>
      </c>
      <c r="P25" s="21">
        <f>+'ACTIVIDAD '!R89</f>
        <v>0</v>
      </c>
      <c r="Q25" s="21">
        <f>+'ACTIVIDAD '!S89</f>
        <v>0</v>
      </c>
      <c r="R25" s="21">
        <f>+'ACTIVIDAD '!T89</f>
        <v>0</v>
      </c>
      <c r="S25" s="21">
        <f>+'ACTIVIDAD '!U89</f>
        <v>0</v>
      </c>
      <c r="T25" s="21">
        <f>+'ACTIVIDAD '!V89</f>
        <v>0</v>
      </c>
      <c r="U25" s="21">
        <f>+'ACTIVIDAD '!W89</f>
        <v>0</v>
      </c>
      <c r="V25" s="21">
        <f>+'ACTIVIDAD '!X89</f>
        <v>0</v>
      </c>
      <c r="W25" s="21">
        <f>+'ACTIVIDAD '!Y89</f>
        <v>0</v>
      </c>
      <c r="X25" s="21">
        <f>+'ACTIVIDAD '!Z89</f>
        <v>0</v>
      </c>
      <c r="Y25" s="21">
        <f>+'ACTIVIDAD '!AA89</f>
        <v>0</v>
      </c>
      <c r="Z25" s="184">
        <f t="shared" si="0"/>
        <v>0</v>
      </c>
    </row>
    <row r="26" spans="1:42" ht="35.15" customHeight="1" x14ac:dyDescent="0.25">
      <c r="A26" s="26">
        <v>17</v>
      </c>
      <c r="B26" s="20" t="s">
        <v>105</v>
      </c>
      <c r="C26" s="21">
        <f>+'ACTIVIDAD '!E94</f>
        <v>0</v>
      </c>
      <c r="D26" s="21">
        <f>+'ACTIVIDAD '!F94</f>
        <v>0</v>
      </c>
      <c r="E26" s="21">
        <f>+'ACTIVIDAD '!G94</f>
        <v>0</v>
      </c>
      <c r="F26" s="21">
        <f>+'ACTIVIDAD '!H94</f>
        <v>0</v>
      </c>
      <c r="G26" s="21">
        <f>+'ACTIVIDAD '!I94</f>
        <v>0</v>
      </c>
      <c r="H26" s="21">
        <f>+'ACTIVIDAD '!J94</f>
        <v>0</v>
      </c>
      <c r="I26" s="21">
        <f>+'ACTIVIDAD '!K94</f>
        <v>0</v>
      </c>
      <c r="J26" s="21">
        <f>+'ACTIVIDAD '!L94</f>
        <v>0</v>
      </c>
      <c r="K26" s="21">
        <f>+'ACTIVIDAD '!M94</f>
        <v>0</v>
      </c>
      <c r="L26" s="21">
        <f>+'ACTIVIDAD '!N94</f>
        <v>0</v>
      </c>
      <c r="M26" s="21">
        <f>+'ACTIVIDAD '!O94</f>
        <v>0</v>
      </c>
      <c r="N26" s="21">
        <f>+'ACTIVIDAD '!P94</f>
        <v>0</v>
      </c>
      <c r="O26" s="21">
        <f>+'ACTIVIDAD '!Q94</f>
        <v>0</v>
      </c>
      <c r="P26" s="21">
        <f>+'ACTIVIDAD '!R94</f>
        <v>0</v>
      </c>
      <c r="Q26" s="21">
        <f>+'ACTIVIDAD '!S94</f>
        <v>0</v>
      </c>
      <c r="R26" s="21">
        <f>+'ACTIVIDAD '!T94</f>
        <v>0</v>
      </c>
      <c r="S26" s="21">
        <f>+'ACTIVIDAD '!U94</f>
        <v>0</v>
      </c>
      <c r="T26" s="21">
        <f>+'ACTIVIDAD '!V94</f>
        <v>0</v>
      </c>
      <c r="U26" s="21">
        <f>+'ACTIVIDAD '!W94</f>
        <v>0</v>
      </c>
      <c r="V26" s="21">
        <f>+'ACTIVIDAD '!X94</f>
        <v>0</v>
      </c>
      <c r="W26" s="21">
        <f>+'ACTIVIDAD '!Y94</f>
        <v>0</v>
      </c>
      <c r="X26" s="21">
        <f>+'ACTIVIDAD '!Z94</f>
        <v>0</v>
      </c>
      <c r="Y26" s="21">
        <f>+'ACTIVIDAD '!AA94</f>
        <v>0</v>
      </c>
      <c r="Z26" s="184">
        <f t="shared" si="0"/>
        <v>0</v>
      </c>
    </row>
    <row r="27" spans="1:42" ht="35.15" customHeight="1" x14ac:dyDescent="0.25">
      <c r="A27" s="26">
        <v>18</v>
      </c>
      <c r="B27" s="20" t="s">
        <v>117</v>
      </c>
      <c r="C27" s="21">
        <f>+'ACTIVIDAD '!E99</f>
        <v>0</v>
      </c>
      <c r="D27" s="21">
        <f>+'ACTIVIDAD '!F99</f>
        <v>0</v>
      </c>
      <c r="E27" s="21">
        <f>+'ACTIVIDAD '!G99</f>
        <v>0</v>
      </c>
      <c r="F27" s="21">
        <f>+'ACTIVIDAD '!H99</f>
        <v>0</v>
      </c>
      <c r="G27" s="21">
        <f>+'ACTIVIDAD '!I99</f>
        <v>0</v>
      </c>
      <c r="H27" s="21">
        <f>+'ACTIVIDAD '!J99</f>
        <v>0</v>
      </c>
      <c r="I27" s="21">
        <f>+'ACTIVIDAD '!K99</f>
        <v>0</v>
      </c>
      <c r="J27" s="21">
        <f>+'ACTIVIDAD '!L99</f>
        <v>0</v>
      </c>
      <c r="K27" s="21">
        <f>+'ACTIVIDAD '!M99</f>
        <v>0</v>
      </c>
      <c r="L27" s="21">
        <f>+'ACTIVIDAD '!N99</f>
        <v>0</v>
      </c>
      <c r="M27" s="21">
        <f>+'ACTIVIDAD '!O99</f>
        <v>0</v>
      </c>
      <c r="N27" s="21">
        <f>+'ACTIVIDAD '!P99</f>
        <v>0</v>
      </c>
      <c r="O27" s="21">
        <f>+'ACTIVIDAD '!Q99</f>
        <v>0</v>
      </c>
      <c r="P27" s="21">
        <f>+'ACTIVIDAD '!R99</f>
        <v>0</v>
      </c>
      <c r="Q27" s="21">
        <f>+'ACTIVIDAD '!S99</f>
        <v>0</v>
      </c>
      <c r="R27" s="21">
        <f>+'ACTIVIDAD '!T99</f>
        <v>0</v>
      </c>
      <c r="S27" s="21">
        <f>+'ACTIVIDAD '!U99</f>
        <v>0</v>
      </c>
      <c r="T27" s="21">
        <f>+'ACTIVIDAD '!V99</f>
        <v>0</v>
      </c>
      <c r="U27" s="21">
        <f>+'ACTIVIDAD '!W99</f>
        <v>0</v>
      </c>
      <c r="V27" s="21">
        <f>+'ACTIVIDAD '!X99</f>
        <v>0</v>
      </c>
      <c r="W27" s="21">
        <f>+'ACTIVIDAD '!Y99</f>
        <v>0</v>
      </c>
      <c r="X27" s="21">
        <f>+'ACTIVIDAD '!Z99</f>
        <v>0</v>
      </c>
      <c r="Y27" s="21">
        <f>+'ACTIVIDAD '!AA99</f>
        <v>0</v>
      </c>
      <c r="Z27" s="184">
        <f t="shared" si="0"/>
        <v>0</v>
      </c>
    </row>
    <row r="28" spans="1:42" ht="35.15" customHeight="1" x14ac:dyDescent="0.25">
      <c r="A28" s="26">
        <v>19</v>
      </c>
      <c r="B28" s="20" t="s">
        <v>108</v>
      </c>
      <c r="C28" s="21">
        <f>+'ACTIVIDAD '!E104</f>
        <v>0</v>
      </c>
      <c r="D28" s="21">
        <f>+'ACTIVIDAD '!F104</f>
        <v>0</v>
      </c>
      <c r="E28" s="21">
        <f>+'ACTIVIDAD '!G104</f>
        <v>0</v>
      </c>
      <c r="F28" s="21">
        <f>+'ACTIVIDAD '!H104</f>
        <v>0</v>
      </c>
      <c r="G28" s="21">
        <f>+'ACTIVIDAD '!I104</f>
        <v>0</v>
      </c>
      <c r="H28" s="21">
        <f>+'ACTIVIDAD '!J104</f>
        <v>0</v>
      </c>
      <c r="I28" s="21">
        <f>+'ACTIVIDAD '!K104</f>
        <v>0</v>
      </c>
      <c r="J28" s="21">
        <f>+'ACTIVIDAD '!L104</f>
        <v>0</v>
      </c>
      <c r="K28" s="21">
        <f>+'ACTIVIDAD '!M104</f>
        <v>0</v>
      </c>
      <c r="L28" s="21">
        <f>+'ACTIVIDAD '!N104</f>
        <v>0</v>
      </c>
      <c r="M28" s="21">
        <f>+'ACTIVIDAD '!O104</f>
        <v>0</v>
      </c>
      <c r="N28" s="21">
        <f>+'ACTIVIDAD '!P104</f>
        <v>0</v>
      </c>
      <c r="O28" s="21">
        <f>+'ACTIVIDAD '!Q104</f>
        <v>0</v>
      </c>
      <c r="P28" s="21">
        <f>+'ACTIVIDAD '!R104</f>
        <v>0</v>
      </c>
      <c r="Q28" s="21">
        <f>+'ACTIVIDAD '!S104</f>
        <v>0</v>
      </c>
      <c r="R28" s="21">
        <f>+'ACTIVIDAD '!T104</f>
        <v>0</v>
      </c>
      <c r="S28" s="21">
        <f>+'ACTIVIDAD '!U104</f>
        <v>0</v>
      </c>
      <c r="T28" s="21">
        <f>+'ACTIVIDAD '!V104</f>
        <v>0</v>
      </c>
      <c r="U28" s="21">
        <f>+'ACTIVIDAD '!W104</f>
        <v>0</v>
      </c>
      <c r="V28" s="21">
        <f>+'ACTIVIDAD '!X104</f>
        <v>0</v>
      </c>
      <c r="W28" s="21">
        <f>+'ACTIVIDAD '!Y104</f>
        <v>0</v>
      </c>
      <c r="X28" s="21">
        <f>+'ACTIVIDAD '!Z104</f>
        <v>0</v>
      </c>
      <c r="Y28" s="21">
        <f>+'ACTIVIDAD '!AA104</f>
        <v>0</v>
      </c>
      <c r="Z28" s="184">
        <f t="shared" si="0"/>
        <v>0</v>
      </c>
    </row>
    <row r="29" spans="1:42" ht="35.15" customHeight="1" x14ac:dyDescent="0.25">
      <c r="A29" s="147" t="s">
        <v>116</v>
      </c>
      <c r="B29" s="147"/>
      <c r="C29" s="26">
        <f>SUM(C10:C28)</f>
        <v>13</v>
      </c>
      <c r="D29" s="26">
        <f t="shared" ref="D29:Y29" si="1">SUM(D10:D28)</f>
        <v>24</v>
      </c>
      <c r="E29" s="26">
        <f t="shared" si="1"/>
        <v>21</v>
      </c>
      <c r="F29" s="26">
        <f t="shared" si="1"/>
        <v>9</v>
      </c>
      <c r="G29" s="26">
        <f t="shared" si="1"/>
        <v>0</v>
      </c>
      <c r="H29" s="26">
        <f t="shared" si="1"/>
        <v>0</v>
      </c>
      <c r="I29" s="26">
        <f t="shared" si="1"/>
        <v>5</v>
      </c>
      <c r="J29" s="26">
        <f t="shared" si="1"/>
        <v>12</v>
      </c>
      <c r="K29" s="26">
        <f t="shared" si="1"/>
        <v>0</v>
      </c>
      <c r="L29" s="26">
        <f t="shared" si="1"/>
        <v>0</v>
      </c>
      <c r="M29" s="26">
        <f t="shared" si="1"/>
        <v>0</v>
      </c>
      <c r="N29" s="26">
        <f t="shared" si="1"/>
        <v>0</v>
      </c>
      <c r="O29" s="26">
        <f t="shared" si="1"/>
        <v>0</v>
      </c>
      <c r="P29" s="26">
        <f t="shared" si="1"/>
        <v>0</v>
      </c>
      <c r="Q29" s="26">
        <f t="shared" si="1"/>
        <v>0</v>
      </c>
      <c r="R29" s="26">
        <f t="shared" si="1"/>
        <v>0</v>
      </c>
      <c r="S29" s="26">
        <f t="shared" si="1"/>
        <v>0</v>
      </c>
      <c r="T29" s="26">
        <f t="shared" si="1"/>
        <v>3</v>
      </c>
      <c r="U29" s="26">
        <f t="shared" si="1"/>
        <v>15</v>
      </c>
      <c r="V29" s="26">
        <f t="shared" si="1"/>
        <v>2</v>
      </c>
      <c r="W29" s="26">
        <f t="shared" si="1"/>
        <v>7</v>
      </c>
      <c r="X29" s="26">
        <f t="shared" si="1"/>
        <v>5</v>
      </c>
      <c r="Y29" s="26">
        <f t="shared" si="1"/>
        <v>3</v>
      </c>
      <c r="Z29" s="26">
        <f>SUM(Z10:Z28)</f>
        <v>119</v>
      </c>
    </row>
    <row r="31" spans="1:42" ht="13.5" thickBot="1" x14ac:dyDescent="0.3"/>
    <row r="32" spans="1:42" ht="16.5" customHeight="1" thickTop="1" thickBot="1" x14ac:dyDescent="0.3">
      <c r="B32" s="16"/>
      <c r="C32" s="16"/>
      <c r="D32" s="16"/>
      <c r="E32" s="16"/>
      <c r="F32" s="16"/>
      <c r="G32" s="16"/>
      <c r="H32" s="148" t="s">
        <v>111</v>
      </c>
      <c r="I32" s="148"/>
      <c r="J32" s="148"/>
      <c r="K32" s="148"/>
      <c r="L32" s="148"/>
      <c r="M32" s="148"/>
      <c r="N32" s="148"/>
      <c r="O32" s="148"/>
      <c r="P32" s="148"/>
      <c r="Q32" s="149"/>
      <c r="R32" s="155">
        <f>SUM(C29:D29)</f>
        <v>37</v>
      </c>
      <c r="S32" s="155"/>
      <c r="T32" s="156">
        <f>SUM(E29:G29)</f>
        <v>30</v>
      </c>
      <c r="U32" s="157"/>
      <c r="V32" s="158"/>
    </row>
    <row r="33" spans="7:22" ht="14" thickTop="1" thickBot="1" x14ac:dyDescent="0.3"/>
    <row r="34" spans="7:22" ht="13.5" customHeight="1" thickBot="1" x14ac:dyDescent="0.35">
      <c r="G34" s="153" t="s">
        <v>112</v>
      </c>
      <c r="H34" s="153"/>
      <c r="I34" s="153"/>
      <c r="J34" s="153"/>
      <c r="K34" s="153"/>
      <c r="L34" s="153"/>
      <c r="M34" s="153"/>
      <c r="N34" s="153"/>
      <c r="O34" s="153"/>
      <c r="P34" s="153"/>
      <c r="Q34" s="154"/>
      <c r="R34" s="150"/>
      <c r="S34" s="151"/>
      <c r="T34" s="151"/>
      <c r="U34" s="151"/>
      <c r="V34" s="152"/>
    </row>
    <row r="1043547" spans="1:25" s="22" customFormat="1" x14ac:dyDescent="0.25">
      <c r="A1043547" s="34"/>
      <c r="P1043547" s="35"/>
      <c r="W1043547" s="16"/>
      <c r="X1043547" s="16"/>
      <c r="Y1043547" s="16"/>
    </row>
    <row r="1043548" spans="1:25" s="22" customFormat="1" x14ac:dyDescent="0.25">
      <c r="A1043548" s="34"/>
      <c r="P1043548" s="35"/>
      <c r="W1043548" s="16"/>
      <c r="X1043548" s="16"/>
      <c r="Y1043548" s="16"/>
    </row>
    <row r="1043549" spans="1:25" s="22" customFormat="1" x14ac:dyDescent="0.25">
      <c r="A1043549" s="34"/>
      <c r="P1043549" s="35"/>
      <c r="W1043549" s="16"/>
      <c r="X1043549" s="16"/>
      <c r="Y1043549" s="16"/>
    </row>
    <row r="1043550" spans="1:25" s="22" customFormat="1" x14ac:dyDescent="0.25">
      <c r="A1043550" s="34"/>
      <c r="P1043550" s="35"/>
      <c r="W1043550" s="16"/>
      <c r="X1043550" s="16"/>
      <c r="Y1043550" s="16"/>
    </row>
    <row r="1043551" spans="1:25" s="22" customFormat="1" x14ac:dyDescent="0.25">
      <c r="A1043551" s="34"/>
      <c r="P1043551" s="35"/>
      <c r="W1043551" s="16"/>
      <c r="X1043551" s="16"/>
      <c r="Y1043551" s="16"/>
    </row>
    <row r="1043552" spans="1:25" s="22" customFormat="1" x14ac:dyDescent="0.25">
      <c r="A1043552" s="34"/>
      <c r="P1043552" s="35"/>
      <c r="W1043552" s="16"/>
      <c r="X1043552" s="16"/>
      <c r="Y1043552" s="16"/>
    </row>
    <row r="1043553" spans="1:25" s="22" customFormat="1" x14ac:dyDescent="0.25">
      <c r="A1043553" s="34"/>
      <c r="P1043553" s="35"/>
      <c r="W1043553" s="16"/>
      <c r="X1043553" s="16"/>
      <c r="Y1043553" s="16"/>
    </row>
    <row r="1043554" spans="1:25" s="22" customFormat="1" x14ac:dyDescent="0.25">
      <c r="A1043554" s="34"/>
      <c r="P1043554" s="35"/>
      <c r="W1043554" s="16"/>
      <c r="X1043554" s="16"/>
      <c r="Y1043554" s="16"/>
    </row>
    <row r="1043555" spans="1:25" s="22" customFormat="1" x14ac:dyDescent="0.25">
      <c r="A1043555" s="34"/>
      <c r="P1043555" s="35"/>
      <c r="W1043555" s="16"/>
      <c r="X1043555" s="16"/>
      <c r="Y1043555" s="16"/>
    </row>
    <row r="1043556" spans="1:25" s="22" customFormat="1" x14ac:dyDescent="0.25">
      <c r="A1043556" s="34"/>
      <c r="P1043556" s="35"/>
      <c r="W1043556" s="16"/>
      <c r="X1043556" s="16"/>
      <c r="Y1043556" s="16"/>
    </row>
    <row r="1043558" spans="1:25" s="22" customFormat="1" x14ac:dyDescent="0.25">
      <c r="A1043558" s="34"/>
      <c r="C1043558" s="22" t="s">
        <v>113</v>
      </c>
      <c r="P1043558" s="35"/>
      <c r="W1043558" s="16"/>
      <c r="X1043558" s="16"/>
      <c r="Y1043558" s="16"/>
    </row>
    <row r="1043559" spans="1:25" s="22" customFormat="1" x14ac:dyDescent="0.25">
      <c r="A1043559" s="34"/>
      <c r="C1043559" s="22" t="s">
        <v>17</v>
      </c>
      <c r="P1043559" s="35"/>
      <c r="W1043559" s="16"/>
      <c r="X1043559" s="16"/>
      <c r="Y1043559" s="16"/>
    </row>
    <row r="1043560" spans="1:25" s="22" customFormat="1" x14ac:dyDescent="0.25">
      <c r="A1043560" s="34"/>
      <c r="C1043560" s="22" t="s">
        <v>114</v>
      </c>
      <c r="P1043560" s="35"/>
      <c r="W1043560" s="16"/>
      <c r="X1043560" s="16"/>
      <c r="Y1043560" s="16"/>
    </row>
    <row r="1043561" spans="1:25" s="22" customFormat="1" x14ac:dyDescent="0.25">
      <c r="A1043561" s="34"/>
      <c r="C1043561" s="22" t="s">
        <v>115</v>
      </c>
      <c r="P1043561" s="35"/>
      <c r="W1043561" s="16"/>
      <c r="X1043561" s="16"/>
      <c r="Y1043561" s="16"/>
    </row>
    <row r="1043562" spans="1:25" s="22" customFormat="1" x14ac:dyDescent="0.25">
      <c r="A1043562" s="34"/>
      <c r="P1043562" s="35"/>
      <c r="W1043562" s="16"/>
      <c r="X1043562" s="16"/>
      <c r="Y1043562" s="16"/>
    </row>
    <row r="1043563" spans="1:25" s="22" customFormat="1" x14ac:dyDescent="0.25">
      <c r="A1043563" s="34"/>
      <c r="P1043563" s="35"/>
      <c r="W1043563" s="16"/>
      <c r="X1043563" s="16"/>
      <c r="Y1043563" s="16"/>
    </row>
    <row r="1043564" spans="1:25" s="22" customFormat="1" x14ac:dyDescent="0.25">
      <c r="A1043564" s="34"/>
      <c r="P1043564" s="35"/>
      <c r="W1043564" s="16"/>
      <c r="X1043564" s="16"/>
      <c r="Y1043564" s="16"/>
    </row>
  </sheetData>
  <mergeCells count="36">
    <mergeCell ref="C5:Z5"/>
    <mergeCell ref="A3:Z3"/>
    <mergeCell ref="A1:Z1"/>
    <mergeCell ref="T7:Y7"/>
    <mergeCell ref="Z7:Z9"/>
    <mergeCell ref="E8:H8"/>
    <mergeCell ref="W8:W9"/>
    <mergeCell ref="X8:X9"/>
    <mergeCell ref="Y8:Y9"/>
    <mergeCell ref="R34:V34"/>
    <mergeCell ref="U8:U9"/>
    <mergeCell ref="V8:V9"/>
    <mergeCell ref="I8:I9"/>
    <mergeCell ref="J8:J9"/>
    <mergeCell ref="N8:N9"/>
    <mergeCell ref="G34:Q34"/>
    <mergeCell ref="L8:L9"/>
    <mergeCell ref="R32:S32"/>
    <mergeCell ref="T32:V32"/>
    <mergeCell ref="O8:O9"/>
    <mergeCell ref="P8:P9"/>
    <mergeCell ref="T8:T9"/>
    <mergeCell ref="M7:M9"/>
    <mergeCell ref="N7:O7"/>
    <mergeCell ref="P7:S7"/>
    <mergeCell ref="A29:B29"/>
    <mergeCell ref="K8:K9"/>
    <mergeCell ref="S8:S9"/>
    <mergeCell ref="R8:R9"/>
    <mergeCell ref="H32:Q32"/>
    <mergeCell ref="A7:A9"/>
    <mergeCell ref="B7:B9"/>
    <mergeCell ref="C7:D8"/>
    <mergeCell ref="Q8:Q9"/>
    <mergeCell ref="E7:I7"/>
    <mergeCell ref="J7:L7"/>
  </mergeCells>
  <pageMargins left="0.7" right="0.7" top="0.75" bottom="0.75" header="0.3" footer="0.3"/>
  <pageSetup scale="37"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echa_x002d_Hora xmlns="3258a467-bc10-4106-9bc0-e8a2551d7fbd">2025-04-11T05:00:00+00:00</Fecha_x002d_Hora>
    <Versi_x00f3_n_x0020_Doc xmlns="3258a467-bc10-4106-9bc0-e8a2551d7fbd">V.08</Versi_x00f3_n_x0020_Doc>
    <Dependencia xmlns="3258a467-bc10-4106-9bc0-e8a2551d7fbd">Departamento Administrativo de Planeación</Dependencia>
    <Carpeta xmlns="3258a467-bc10-4106-9bc0-e8a2551d7fbd">02. PDD - PLANEACIÓN PARA EL DESARROLLO DEPARTAMENTAL</Carpeta>
    <Clasificaci_x00f3_n xmlns="3258a467-bc10-4106-9bc0-e8a2551d7fbd">Formatos</Clasificaci_x00f3_n>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1F8DE9144391F4E88625AAEE94FBF82" ma:contentTypeVersion="5" ma:contentTypeDescription="Crear nuevo documento." ma:contentTypeScope="" ma:versionID="5c49ae9942fc8029744eea395ae1558d">
  <xsd:schema xmlns:xsd="http://www.w3.org/2001/XMLSchema" xmlns:xs="http://www.w3.org/2001/XMLSchema" xmlns:p="http://schemas.microsoft.com/office/2006/metadata/properties" xmlns:ns2="3258a467-bc10-4106-9bc0-e8a2551d7fbd" targetNamespace="http://schemas.microsoft.com/office/2006/metadata/properties" ma:root="true" ma:fieldsID="8bfe68d4cf7ee431efb0b9d0f4f02ac6" ns2:_="">
    <xsd:import namespace="3258a467-bc10-4106-9bc0-e8a2551d7fbd"/>
    <xsd:element name="properties">
      <xsd:complexType>
        <xsd:sequence>
          <xsd:element name="documentManagement">
            <xsd:complexType>
              <xsd:all>
                <xsd:element ref="ns2:Carpeta" minOccurs="0"/>
                <xsd:element ref="ns2:Clasificaci_x00f3_n" minOccurs="0"/>
                <xsd:element ref="ns2:Fecha_x002d_Hora" minOccurs="0"/>
                <xsd:element ref="ns2:Versi_x00f3_n_x0020_Doc" minOccurs="0"/>
                <xsd:element ref="ns2:Dependenci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58a467-bc10-4106-9bc0-e8a2551d7fbd" elementFormDefault="qualified">
    <xsd:import namespace="http://schemas.microsoft.com/office/2006/documentManagement/types"/>
    <xsd:import namespace="http://schemas.microsoft.com/office/infopath/2007/PartnerControls"/>
    <xsd:element name="Carpeta" ma:index="8" nillable="true" ma:displayName="Carpeta" ma:default="01. SGI - ADMINISTRACIÓN DEL SISTEMA DE GESTIÓN INTEGRADO" ma:format="Dropdown" ma:internalName="Carpeta">
      <xsd:simpleType>
        <xsd:restriction base="dms:Choice">
          <xsd:enumeration value="01. SGI - ADMINISTRACIÓN DEL SISTEMA DE GESTIÓN INTEGRADO"/>
          <xsd:enumeration value="02. PDD - PLANEACIÓN PARA EL DESARROLLO DEPARTAMENTAL"/>
          <xsd:enumeration value="03. COI - COMUNICACIÓN ORGANIZACIONAL E INFORMATIVA"/>
          <xsd:enumeration value="04. GSV - GESTIÓN DESARROLLO SOCIAL Y VIVIENDA"/>
          <xsd:enumeration value="05. FM - FORTALECIMIENTO A LA ACCIÓN MUNICIPAL Y DEPARTAMENTAL"/>
          <xsd:enumeration value="06. GS - GESTIÓN EN SALUD"/>
          <xsd:enumeration value="07. DE - GESTIÓN DEL DESARROLLO ECONÓMICO Y AMBIENTAL"/>
          <xsd:enumeration value="08. GE - GESTIÓN EDUCATIVA"/>
          <xsd:enumeration value="09. IF - GESTIÓN DE LA INFRAESTRUCTURA FÍSICA PÚBLICA"/>
          <xsd:enumeration value="10. AUT - ATENCIÓN AL USUARIO Y TRÁMITES"/>
          <xsd:enumeration value="11. AB - ADQUISICIÓN DE BIENES Y SERVICIOS"/>
          <xsd:enumeration value="12. TH - ADMINISTRACIÓN DEL TALENTO HUMANO"/>
          <xsd:enumeration value="13. GF - GESTIÓN FINANCIERA"/>
          <xsd:enumeration value="14. AR - ADMINISTRACIÓN DE RECURSOS FÍSICOS"/>
          <xsd:enumeration value="15. GD - GESTIÓN DOCUMENTAL"/>
          <xsd:enumeration value="16. GDI - GESTIÓN DIGITAL"/>
          <xsd:enumeration value="17. SJ - SOPORTE JURÍDICO"/>
          <xsd:enumeration value="18. CD - CONTROL DISCIPLINARIO INTERNO"/>
          <xsd:enumeration value="19. CG - CONTROL DE EVALUACIÓN Y GESTIÓN"/>
          <xsd:enumeration value="20. GCT- GESTIÓN CULTURAL Y TURÍSTICA"/>
          <xsd:enumeration value="21. DJ- DEFENSA JURÍDICA"/>
        </xsd:restriction>
      </xsd:simpleType>
    </xsd:element>
    <xsd:element name="Clasificaci_x00f3_n" ma:index="9" nillable="true" ma:displayName="Clasificación" ma:format="Dropdown" ma:internalName="Clasificaci_x00f3_n">
      <xsd:simpleType>
        <xsd:restriction base="dms:Choice">
          <xsd:enumeration value="Documentos"/>
          <xsd:enumeration value="Formatos"/>
          <xsd:enumeration value="Procedimientos"/>
          <xsd:enumeration value="Guías"/>
          <xsd:enumeration value="Instructivos"/>
          <xsd:enumeration value="Manuales"/>
          <xsd:enumeration value="Otros"/>
          <xsd:enumeration value="Formatos DAFP-Acuerdos de Gestión"/>
          <xsd:enumeration value="Guía y Formatos DAFP Plan Institucional de Capacitación-PIC"/>
          <xsd:enumeration value="Documentos Tipo"/>
          <xsd:enumeration value="Formatos Contractual"/>
          <xsd:enumeration value="Formato Incumplimiento Contractual"/>
          <xsd:enumeration value="Formato Postcontractual"/>
          <xsd:enumeration value="Formato Precontractual"/>
          <xsd:enumeration value="Documentos externos INVIMA"/>
          <xsd:enumeration value="Caracterización"/>
        </xsd:restriction>
      </xsd:simpleType>
    </xsd:element>
    <xsd:element name="Fecha_x002d_Hora" ma:index="10" nillable="true" ma:displayName="Fecha de Publicación" ma:default="[today]" ma:format="DateOnly" ma:internalName="Fecha_x002d_Hora">
      <xsd:simpleType>
        <xsd:restriction base="dms:DateTime"/>
      </xsd:simpleType>
    </xsd:element>
    <xsd:element name="Versi_x00f3_n_x0020_Doc" ma:index="11" nillable="true" ma:displayName="Versión Doc" ma:default="N/A" ma:format="Dropdown" ma:internalName="Versi_x00f3_n_x0020_Doc">
      <xsd:simpleType>
        <xsd:restriction base="dms:Choice">
          <xsd:enumeration value="N/A"/>
          <xsd:enumeration value="V.01"/>
          <xsd:enumeration value="V.02"/>
          <xsd:enumeration value="V.03"/>
          <xsd:enumeration value="V.04"/>
          <xsd:enumeration value="V.05"/>
          <xsd:enumeration value="V.06"/>
          <xsd:enumeration value="V.07"/>
          <xsd:enumeration value="V.08"/>
          <xsd:enumeration value="V.09"/>
          <xsd:enumeration value="V.10"/>
          <xsd:enumeration value="V.11"/>
          <xsd:enumeration value="V.13"/>
          <xsd:enumeration value="V.14"/>
          <xsd:enumeration value="V.15"/>
          <xsd:enumeration value="V.16"/>
          <xsd:enumeration value="V.17"/>
          <xsd:enumeration value="V.18"/>
          <xsd:enumeration value="V.19"/>
          <xsd:enumeration value="V.20"/>
          <xsd:enumeration value="V.21"/>
          <xsd:enumeration value="V.22"/>
          <xsd:enumeration value="V.23"/>
        </xsd:restriction>
      </xsd:simpleType>
    </xsd:element>
    <xsd:element name="Dependencia" ma:index="12" nillable="true" ma:displayName="Dependencia" ma:default="Despacho del Gobernador" ma:format="Dropdown" ma:internalName="Dependencia">
      <xsd:simpleType>
        <xsd:restriction base="dms:Choice">
          <xsd:enumeration value="Despacho del Gobernador"/>
          <xsd:enumeration value="Secretaría de Hacienda"/>
          <xsd:enumeration value="Departamento Administrativo de Planeación"/>
          <xsd:enumeration value="Oficina Asesora Jurídica"/>
          <xsd:enumeration value="Oficina Defensa Judicial"/>
          <xsd:enumeration value="Oficina Vivienda Departamental"/>
          <xsd:enumeration value="Secretaría de Desarrollo Económico, Agricultura, Ganadería y Medio Ambiente"/>
          <xsd:enumeration value="Secretaría de Gobierno, Convivencia y Seguridad Ciudadana"/>
          <xsd:enumeration value="Secretaría de Infraestructura"/>
          <xsd:enumeration value="Secretaría de Salud"/>
          <xsd:enumeration value="Secretaría General"/>
          <xsd:enumeration value="Vivienda Departamental"/>
          <xsd:enumeration value="Oficina Asesora de Comunicaciones"/>
          <xsd:enumeration value="Secretaría de Educación"/>
          <xsd:enumeration value="Dirección de Talento Humano"/>
          <xsd:enumeration value="Secretaría General (Dir. Administrativa- Almacen Dptal)"/>
          <xsd:enumeration value="Secretaría General (Archivo y Correspondencia)"/>
          <xsd:enumeration value="Secretaría General  (Dirección TIC)"/>
          <xsd:enumeration value="Oficina de Control Disciplinario Interno"/>
          <xsd:enumeration value="Oficina de Control Interno de Gestión"/>
          <xsd:enumeration value="Secretaría General  (Atención al Usuario)"/>
          <xsd:enumeration value="Departamento Administrativo de Planeación (Trámites)"/>
          <xsd:enumeration value="Dirección Departamental de Cultura y Turismo"/>
          <xsd:enumeration value="Secretaría de Integración, Desarrollo Social y Mujer"/>
          <xsd:enumeration value="Secretaría de Integración, Desarrollo Social y Mujer -Dirección Departamental de Cultura y Turismo"/>
          <xsd:enumeration value="Secretaría General (Atención al Usuario) - Departamento Administrativo de Planeación (Trámites"/>
          <xsd:enumeration value="Meci Calidad, Gobernacion de Casanar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08BC33-90D7-40F8-AAB5-39DE47A4DE41}">
  <ds:schemaRefs>
    <ds:schemaRef ds:uri="http://schemas.microsoft.com/sharepoint/v3/contenttype/forms"/>
  </ds:schemaRefs>
</ds:datastoreItem>
</file>

<file path=customXml/itemProps2.xml><?xml version="1.0" encoding="utf-8"?>
<ds:datastoreItem xmlns:ds="http://schemas.openxmlformats.org/officeDocument/2006/customXml" ds:itemID="{EA0C2BCA-0A9F-44AB-8260-FFAD5867C3DA}">
  <ds:schemaRefs>
    <ds:schemaRef ds:uri="http://schemas.microsoft.com/office/2006/metadata/properties"/>
    <ds:schemaRef ds:uri="http://schemas.microsoft.com/office/infopath/2007/PartnerControls"/>
    <ds:schemaRef ds:uri="3258a467-bc10-4106-9bc0-e8a2551d7fbd"/>
  </ds:schemaRefs>
</ds:datastoreItem>
</file>

<file path=customXml/itemProps3.xml><?xml version="1.0" encoding="utf-8"?>
<ds:datastoreItem xmlns:ds="http://schemas.openxmlformats.org/officeDocument/2006/customXml" ds:itemID="{E888B7BB-6236-4125-AA59-0BA6CFA2EF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58a467-bc10-4106-9bc0-e8a2551d7f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INSTRUCTIVO</vt:lpstr>
      <vt:lpstr>FO-PDD-19</vt:lpstr>
      <vt:lpstr>ACTIVIDAD </vt:lpstr>
      <vt:lpstr>PROYECTO</vt:lpstr>
      <vt:lpstr>'FO-PDD-19'!Área_de_impresión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FO-PDD-19  Control Asistencia Técnica y Caracterización de Ciudadanía</dc:title>
  <dc:creator>User</dc:creator>
  <cp:lastModifiedBy>ACER</cp:lastModifiedBy>
  <cp:lastPrinted>2025-04-11T16:08:04Z</cp:lastPrinted>
  <dcterms:created xsi:type="dcterms:W3CDTF">2013-10-10T14:22:44Z</dcterms:created>
  <dcterms:modified xsi:type="dcterms:W3CDTF">2026-09-11T14:40:45Z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0x01010061F8DE9144391F4E88625AAEE94FBF82</vt:lpwstr>
  </property>
</Properties>
</file>